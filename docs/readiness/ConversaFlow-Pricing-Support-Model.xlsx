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gin" sheetId="1" state="visible" r:id="rId3"/>
    <sheet name="Read me" sheetId="2" state="visible" r:id="rId4"/>
    <sheet name="Assumptions" sheetId="3" state="visible" r:id="rId5"/>
    <sheet name="Pilot subsidy" sheetId="4" state="visible" r:id="rId6"/>
    <sheet name="Support off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<sst xmlns="http://schemas.openxmlformats.org/spreadsheetml/2006/main" count="207" uniqueCount="173">
  <si>
    <t xml:space="preserve">Growth scale — 100 companies, per company per month (support costed at the hourly rate on Assumptions)</t>
  </si>
  <si>
    <t xml:space="preserve">Plan</t>
  </si>
  <si>
    <t xml:space="preserve">Monthly price</t>
  </si>
  <si>
    <t xml:space="preserve">Annual, per month</t>
  </si>
  <si>
    <t xml:space="preserve">Hosting</t>
  </si>
  <si>
    <t xml:space="preserve">Included usage</t>
  </si>
  <si>
    <t xml:space="preserve">Included support (cost)</t>
  </si>
  <si>
    <t xml:space="preserve">Extra support (revenue)</t>
  </si>
  <si>
    <t xml:space="preserve">Extra support (cost)</t>
  </si>
  <si>
    <t xml:space="preserve">Onboarding fee (per month)</t>
  </si>
  <si>
    <t xml:space="preserve">Onboarding time (cost per month)</t>
  </si>
  <si>
    <t xml:space="preserve">Card fees, monthly billing</t>
  </si>
  <si>
    <t xml:space="preserve">Card fees, annual billing</t>
  </si>
  <si>
    <t xml:space="preserve">Margin, monthly billing</t>
  </si>
  <si>
    <t xml:space="preserve">Margin %, monthly</t>
  </si>
  <si>
    <t xml:space="preserve">Margin, annual billing</t>
  </si>
  <si>
    <t xml:space="preserve">Margin %, annual</t>
  </si>
  <si>
    <t xml:space="preserve">Support hours carried per month</t>
  </si>
  <si>
    <t xml:space="preserve">Starter</t>
  </si>
  <si>
    <t xml:space="preserve">Growth</t>
  </si>
  <si>
    <t xml:space="preserve">Business</t>
  </si>
  <si>
    <t xml:space="preserve">Enterprise</t>
  </si>
  <si>
    <t xml:space="preserve">Whole mix</t>
  </si>
  <si>
    <t xml:space="preserve">Whole mix = monthly totals across all 100 companies. Revenue includes extra support and onboarding fees spread over the customer lifetime.</t>
  </si>
  <si>
    <t xml:space="preserve">Before and after the rework — annual billing, at the support cost on Assumptions</t>
  </si>
  <si>
    <t xml:space="preserve">Before: all expected support free</t>
  </si>
  <si>
    <t xml:space="preserve">Before: margin %</t>
  </si>
  <si>
    <t xml:space="preserve">After: margin per month</t>
  </si>
  <si>
    <t xml:space="preserve">After: margin %</t>
  </si>
  <si>
    <t xml:space="preserve">Change per month</t>
  </si>
  <si>
    <t xml:space="preserve">Annual-billing margin per company per month at different support costs per hour (after the rework)</t>
  </si>
  <si>
    <t xml:space="preserve">$20 / hour</t>
  </si>
  <si>
    <t xml:space="preserve">$30 / hour</t>
  </si>
  <si>
    <t xml:space="preserve">$40 / hour</t>
  </si>
  <si>
    <t xml:space="preserve">$50 / hour</t>
  </si>
  <si>
    <t xml:space="preserve">$60 / hour</t>
  </si>
  <si>
    <t xml:space="preserve">Extra support is sold at the price on Assumptions ($60 an hour). If support costs rise above that price, extra support no longer covers its own time.</t>
  </si>
  <si>
    <t xml:space="preserve">ConversaFlow — pricing and support model (draft)</t>
  </si>
  <si>
    <t xml:space="preserve">Status: annual pricing approval is on hold (owner, 20 Oct 2026). Nothing here is published or offered.</t>
  </si>
  <si>
    <t xml:space="preserve">What changed from the earlier model</t>
  </si>
  <si>
    <t xml:space="preserve">• Starter and Growth now include a defined support allowance (15 and 45 minutes a month) instead of absorbing all the support customers ask for.</t>
  </si>
  <si>
    <t xml:space="preserve">• Onboarding is paid where it is needed (optional for Starter, included as a fee for Growth and above), and extra support is priced separately per hour.</t>
  </si>
  <si>
    <t xml:space="preserve">• Support is costed at $40 an hour (your test value) and a sensitivity table shows $20 to $60.</t>
  </si>
  <si>
    <t xml:space="preserve">• The Pilot subsidy sheet shows the total cost of a free pilot for three or five companies and a proposed spending cap.</t>
  </si>
  <si>
    <t xml:space="preserve">How to use</t>
  </si>
  <si>
    <t xml:space="preserve">• Change only blue numbers (Assumptions and Pilot subsidy). Yellow marks the inputs with the biggest effect.</t>
  </si>
  <si>
    <t xml:space="preserve">• Margin compares annual and monthly billing per plan, before and after the rework, and across support costs.</t>
  </si>
  <si>
    <t xml:space="preserve">Excluded</t>
  </si>
  <si>
    <t xml:space="preserve">• Meta message fees (paid by customers directly), usage overages, AI credits (later phase), sales commission, taxes and development cost.</t>
  </si>
  <si>
    <t xml:space="preserve">• Hosting figures are provisional estimates (docs/readiness/hosting-comparison.md); no hosting is selected or bought.</t>
  </si>
  <si>
    <t xml:space="preserve">Assumptions — change only the blue numbers</t>
  </si>
  <si>
    <t xml:space="preserve">Per plan</t>
  </si>
  <si>
    <t xml:space="preserve">Note / source</t>
  </si>
  <si>
    <t xml:space="preserve">Monthly price ($)</t>
  </si>
  <si>
    <t xml:space="preserve">BRD v1.1 proposed prices (catalogue version 1)</t>
  </si>
  <si>
    <t xml:space="preserve">Seat limit</t>
  </si>
  <si>
    <t xml:space="preserve">BRD v1.1 plan limits</t>
  </si>
  <si>
    <t xml:space="preserve">Share of seats in use</t>
  </si>
  <si>
    <t xml:space="preserve">Assumption</t>
  </si>
  <si>
    <t xml:space="preserve">Included automation runs / month</t>
  </si>
  <si>
    <t xml:space="preserve">BRD v1.1; Enterprise is custom — 50,000 assumed</t>
  </si>
  <si>
    <t xml:space="preserve">Support allowance included (hours / month)</t>
  </si>
  <si>
    <t xml:space="preserve">Proposed: Starter 15 min (email), Growth 45 min (email and chat); Business and Enterprise unchanged</t>
  </si>
  <si>
    <t xml:space="preserve">Support customers expect (hours / month)</t>
  </si>
  <si>
    <t xml:space="preserve">Same demand as the previous model, so the comparison is fair</t>
  </si>
  <si>
    <t xml:space="preserve">Share of time above the allowance bought as extra support</t>
  </si>
  <si>
    <t xml:space="preserve">Assumption: the rest is handled by the help centre or not requested</t>
  </si>
  <si>
    <t xml:space="preserve">Onboarding fee, one-off ($)</t>
  </si>
  <si>
    <t xml:space="preserve">Proposed: Starter optional assisted set-up; Growth and above include paid onboarding</t>
  </si>
  <si>
    <t xml:space="preserve">Share of new companies paying for onboarding</t>
  </si>
  <si>
    <t xml:space="preserve">Starter is optional; Growth and above required</t>
  </si>
  <si>
    <t xml:space="preserve">Onboarding time when paid (hours)</t>
  </si>
  <si>
    <t xml:space="preserve">Assumption: guided set-up call, templates, team and roles</t>
  </si>
  <si>
    <t xml:space="preserve">Onboarding time otherwise (hours)</t>
  </si>
  <si>
    <t xml:space="preserve">Assumption: self-service with one short check-in</t>
  </si>
  <si>
    <t xml:space="preserve">Companies at growth scale</t>
  </si>
  <si>
    <t xml:space="preserve">Assumption: plan mix of 100 companies</t>
  </si>
  <si>
    <t xml:space="preserve">Shared inputs</t>
  </si>
  <si>
    <t xml:space="preserve">Value</t>
  </si>
  <si>
    <t xml:space="preserve">Hosting at growth scale ($ / month)</t>
  </si>
  <si>
    <t xml:space="preserve">Provisional AWS Frankfurt estimate excl. email (docs/readiness/hosting-comparison.md)</t>
  </si>
  <si>
    <t xml:space="preserve">Share of hosting split evenly per company</t>
  </si>
  <si>
    <t xml:space="preserve">Assumption: the rest is split by seats in use</t>
  </si>
  <si>
    <t xml:space="preserve">Emails per seat in use / month</t>
  </si>
  <si>
    <t xml:space="preserve">Email cost per 1,000 ($)</t>
  </si>
  <si>
    <t xml:space="preserve">Amazon SES Frankfurt list price</t>
  </si>
  <si>
    <t xml:space="preserve">File storage per seat in use (GB)</t>
  </si>
  <si>
    <t xml:space="preserve">Storage cost per GB-month incl. backup copy ($)</t>
  </si>
  <si>
    <t xml:space="preserve">Compute cost per 1,000 automation runs ($)</t>
  </si>
  <si>
    <t xml:space="preserve">Share of included runs actually used</t>
  </si>
  <si>
    <t xml:space="preserve">Support cost per hour, fully loaded ($)</t>
  </si>
  <si>
    <t xml:space="preserve">Owner test value, 20 Oct 2026</t>
  </si>
  <si>
    <t xml:space="preserve">Extra support price per hour ($)</t>
  </si>
  <si>
    <t xml:space="preserve">Proposed: sold in 30-minute steps, separate from the plan price</t>
  </si>
  <si>
    <t xml:space="preserve">Average customer lifetime (months)</t>
  </si>
  <si>
    <t xml:space="preserve">Assumption: spreads one-off onboarding over the months it serves</t>
  </si>
  <si>
    <t xml:space="preserve">Card processing — percent of charge</t>
  </si>
  <si>
    <t xml:space="preserve">Typical; varies by processor and country</t>
  </si>
  <si>
    <t xml:space="preserve">Card processing — fixed fee per charge ($)</t>
  </si>
  <si>
    <t xml:space="preserve">Typical</t>
  </si>
  <si>
    <t xml:space="preserve">Annual price multiple (× monthly)</t>
  </si>
  <si>
    <t xml:space="preserve">Draft, unpublished; approval on hold</t>
  </si>
  <si>
    <t xml:space="preserve">Blue = input you can change · yellow = biggest effect on the answer · black = calculated · green = taken from another sheet.</t>
  </si>
  <si>
    <t xml:space="preserve">Pilot subsidy — what the pilot costs Meronatic, and a proposed spending cap</t>
  </si>
  <si>
    <t xml:space="preserve">Proposed pilot terms: no ConversaFlow fee; Meta message fees paid by each pilot company directly.</t>
  </si>
  <si>
    <t xml:space="preserve">Input</t>
  </si>
  <si>
    <t xml:space="preserve">3 companies</t>
  </si>
  <si>
    <t xml:space="preserve">5 companies</t>
  </si>
  <si>
    <t xml:space="preserve">Note</t>
  </si>
  <si>
    <t xml:space="preserve">Pilot companies</t>
  </si>
  <si>
    <t xml:space="preserve">One per sector; up to five if you choose more</t>
  </si>
  <si>
    <t xml:space="preserve">Pilot length (days)</t>
  </si>
  <si>
    <t xml:space="preserve">Same as the system default for a pilot enrolment</t>
  </si>
  <si>
    <t xml:space="preserve">Onboarding time per company (hours)</t>
  </si>
  <si>
    <t xml:space="preserve">Kick-off, workspace set-up, templates, training, closing summary</t>
  </si>
  <si>
    <t xml:space="preserve">Weeks of close support</t>
  </si>
  <si>
    <t xml:space="preserve">From the onboarding plan in the preparation pack</t>
  </si>
  <si>
    <t xml:space="preserve">Support hours per week, close support</t>
  </si>
  <si>
    <t xml:space="preserve">Assumption: daily check-ins plus the weekly review</t>
  </si>
  <si>
    <t xml:space="preserve">Support hours per week, afterwards</t>
  </si>
  <si>
    <t xml:space="preserve">Assumption: weekly 30-minute review plus questions</t>
  </si>
  <si>
    <t xml:space="preserve">Hosting during the pilot ($ / month)</t>
  </si>
  <si>
    <t xml:space="preserve">Provisional AWS Frankfurt pilot estimate excl. email (production and staging)</t>
  </si>
  <si>
    <t xml:space="preserve">Other running costs per company ($ / month)</t>
  </si>
  <si>
    <t xml:space="preserve">Email, storage, logs: assumption, small</t>
  </si>
  <si>
    <t xml:space="preserve">ConversaFlow fee per company during the pilot ($ / month)</t>
  </si>
  <si>
    <t xml:space="preserve">Proposed pilot terms: no fee</t>
  </si>
  <si>
    <t xml:space="preserve">Contingency on top of the estimate</t>
  </si>
  <si>
    <t xml:space="preserve">For extra support time or a longer pilot</t>
  </si>
  <si>
    <t xml:space="preserve">Support cost per hour ($)</t>
  </si>
  <si>
    <t xml:space="preserve">From Assumptions</t>
  </si>
  <si>
    <t xml:space="preserve">Calculation</t>
  </si>
  <si>
    <t xml:space="preserve">How it is worked out</t>
  </si>
  <si>
    <t xml:space="preserve">Pilot length (months)</t>
  </si>
  <si>
    <t xml:space="preserve">Days ÷ 30.4</t>
  </si>
  <si>
    <t xml:space="preserve">Support hours per company</t>
  </si>
  <si>
    <t xml:space="preserve">Onboarding + close-support weeks + the remaining weeks</t>
  </si>
  <si>
    <t xml:space="preserve">Support time ($)</t>
  </si>
  <si>
    <t xml:space="preserve">Companies × hours × hourly cost</t>
  </si>
  <si>
    <t xml:space="preserve">Hosting ($)</t>
  </si>
  <si>
    <t xml:space="preserve">Months × monthly hosting</t>
  </si>
  <si>
    <t xml:space="preserve">Other running costs ($)</t>
  </si>
  <si>
    <t xml:space="preserve">Companies × months × cost</t>
  </si>
  <si>
    <t xml:space="preserve">Total cost ($)</t>
  </si>
  <si>
    <t xml:space="preserve">Support + hosting + other</t>
  </si>
  <si>
    <t xml:space="preserve">Less pilot fees received ($)</t>
  </si>
  <si>
    <t xml:space="preserve">Zero under the proposed terms</t>
  </si>
  <si>
    <t xml:space="preserve">Pilot subsidy ($)</t>
  </si>
  <si>
    <t xml:space="preserve">What Meronatic pays for the pilot</t>
  </si>
  <si>
    <t xml:space="preserve">Proposed spending cap ($)</t>
  </si>
  <si>
    <t xml:space="preserve">Subsidy plus contingency, rounded up to the next $500</t>
  </si>
  <si>
    <t xml:space="preserve">Not included: the independent security review (quoted separately), legal drafting, Meta fees (paid by the pilot companies) and development time.</t>
  </si>
  <si>
    <t xml:space="preserve">Hosting is shared: it is the same whether the pilot has three or five companies, so more companies lower the subsidy per company.</t>
  </si>
  <si>
    <t xml:space="preserve">How the cap would work: spending is tracked monthly against the cap; reaching 80% triggers a review with you before more is committed.</t>
  </si>
  <si>
    <t xml:space="preserve">Proposed support offer per plan (draft for your decision)</t>
  </si>
  <si>
    <t xml:space="preserve">Included support each month</t>
  </si>
  <si>
    <t xml:space="preserve">15 minutes by email, next business day</t>
  </si>
  <si>
    <t xml:space="preserve">45 minutes by email and chat, same business day</t>
  </si>
  <si>
    <t xml:space="preserve">3 hours, priority, named contact</t>
  </si>
  <si>
    <t xml:space="preserve">6 hours, priority, named contact</t>
  </si>
  <si>
    <t xml:space="preserve">Onboarding</t>
  </si>
  <si>
    <t xml:space="preserve">Self-service guide; assisted set-up optional at $99</t>
  </si>
  <si>
    <t xml:space="preserve">Paid onboarding $199, one-off (about 3 hours)</t>
  </si>
  <si>
    <t xml:space="preserve">Paid onboarding $399 (about 6 hours)</t>
  </si>
  <si>
    <t xml:space="preserve">Paid onboarding from $799 (about 12 hours)</t>
  </si>
  <si>
    <t xml:space="preserve">Extra support</t>
  </si>
  <si>
    <t xml:space="preserve">$60 per hour, in 30-minute steps</t>
  </si>
  <si>
    <t xml:space="preserve">Included in the contract or $60 per hour</t>
  </si>
  <si>
    <t xml:space="preserve">Help centre and guides</t>
  </si>
  <si>
    <t xml:space="preserve">Yes</t>
  </si>
  <si>
    <t xml:space="preserve">Annual billing (10 × monthly)</t>
  </si>
  <si>
    <t xml:space="preserve">On hold until you approve</t>
  </si>
  <si>
    <t xml:space="preserve">All figures are proposals for your decision. Nothing is published or offered to customers.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</si>
</sst>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;\(0.0%\);\-"/>
    <numFmt numFmtId="167" formatCode="#,##0.00;\(#,##0.00\);\-"/>
    <numFmt numFmtId="168" formatCode="\$#,##0;&quot;($&quot;#,##0\);\-"/>
    <numFmt numFmtId="169" formatCode="0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475569"/>
      <name val="Arial"/>
      <family val="0"/>
      <charset val="1"/>
    </font>
    <font>
      <i val="true"/>
      <sz val="11"/>
      <color rgb="FF47556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7" min="2" style="0" width="12"/>
  </cols>
  <sheetData>
    <row r="1" customFormat="false" ht="15" hidden="false" customHeight="false" outlineLevel="0" collapsed="false">
      <c r="A1" s="1" t="s">
        <v>0</v>
      </c>
    </row>
    <row r="2" customFormat="false" ht="5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">
        <v>18</v>
      </c>
      <c r="B3" s="4" t="n">
        <f aca="false">Assumptions!$B$3</f>
        <v>29</v>
      </c>
      <c r="C3" s="5" t="n">
        <f aca="false">B3*Assumptions!$B$30/12</f>
        <v>24.1666666666667</v>
      </c>
      <c r="D3" s="5" t="n">
        <f aca="false">IF((Assumptions!$B$14+Assumptions!$C$14+Assumptions!$D$14+Assumptions!$E$14)=0,0,Assumptions!$B$17*(Assumptions!$B$18/(Assumptions!$B$14+Assumptions!$C$14+Assumptions!$D$14+Assumptions!$E$14)+(1-Assumptions!$B$18)*Assumptions!$B$4*Assumptions!$B$5/(Assumptions!$B$14*Assumptions!$B$4*Assumptions!$B$5+Assumptions!$C$14*Assumptions!$C$4*Assumptions!$C$5+Assumptions!$D$14*Assumptions!$D$4*Assumptions!$D$5+Assumptions!$E$14*Assumptions!$E$4*Assumptions!$E$5)))</f>
        <v>7.33691803278688</v>
      </c>
      <c r="E3" s="5" t="n">
        <f aca="false">Assumptions!$B$4*Assumptions!$B$5*Assumptions!$B$19/1000*Assumptions!$B$20+Assumptions!$B$4*Assumptions!$B$5*Assumptions!$B$21*Assumptions!$B$22+Assumptions!$B$6*Assumptions!$B$24/1000*Assumptions!$B$23</f>
        <v>0.1342</v>
      </c>
      <c r="F3" s="5" t="n">
        <f aca="false">MIN(Assumptions!$B$7,Assumptions!$B$8)*Assumptions!$B$25</f>
        <v>10</v>
      </c>
      <c r="G3" s="5" t="n">
        <f aca="false">MAX(0,Assumptions!$B$8-Assumptions!$B$7)*Assumptions!$B$9*Assumptions!$B$26</f>
        <v>6</v>
      </c>
      <c r="H3" s="5" t="n">
        <f aca="false">MAX(0,Assumptions!$B$8-Assumptions!$B$7)*Assumptions!$B$9*Assumptions!$B$25</f>
        <v>4</v>
      </c>
      <c r="I3" s="5" t="n">
        <f aca="false">Assumptions!$B$10*Assumptions!$B$11/Assumptions!$B$27</f>
        <v>1.2375</v>
      </c>
      <c r="J3" s="5" t="n">
        <f aca="false">(Assumptions!$B$11*Assumptions!$B$12+(1-Assumptions!$B$11)*Assumptions!$B$13)*Assumptions!$B$25/Assumptions!$B$27</f>
        <v>1.33333333333333</v>
      </c>
      <c r="K3" s="5" t="n">
        <f aca="false">(B3+G3+I3)*Assumptions!$B$28+Assumptions!$B$29</f>
        <v>1.387125</v>
      </c>
      <c r="L3" s="5" t="n">
        <f aca="false">(C3*12*Assumptions!$B$28+Assumptions!$B$29)/12+(G3+I3)*Assumptions!$B$28</f>
        <v>0.967125</v>
      </c>
      <c r="M3" s="5" t="n">
        <f aca="false">B3+G3+I3-D3-E3-F3-H3-J3-K3</f>
        <v>12.0459236338798</v>
      </c>
      <c r="N3" s="6" t="n">
        <f aca="false">IF(B3+G3+I3=0,0,M3/(B3+G3+I3))</f>
        <v>0.33241596782007</v>
      </c>
      <c r="O3" s="5" t="n">
        <f aca="false">C3+G3+I3-D3-E3-F3-H3-J3-L3</f>
        <v>7.63259030054645</v>
      </c>
      <c r="P3" s="6" t="n">
        <f aca="false">IF(C3+G3+I3=0,0,O3/(C3+G3+I3))</f>
        <v>0.243043873176482</v>
      </c>
      <c r="Q3" s="7" t="n">
        <f aca="false">MIN(Assumptions!$B$7,Assumptions!$B$8)+MAX(0,Assumptions!$B$8-Assumptions!$B$7)*Assumptions!$B$9+(Assumptions!$B$11*Assumptions!$B$12+(1-Assumptions!$B$11)*Assumptions!$B$13)/Assumptions!$B$27</f>
        <v>0.383333333333333</v>
      </c>
    </row>
    <row r="4" customFormat="false" ht="15" hidden="false" customHeight="false" outlineLevel="0" collapsed="false">
      <c r="A4" s="3" t="s">
        <v>19</v>
      </c>
      <c r="B4" s="4" t="n">
        <f aca="false">Assumptions!$C$3</f>
        <v>79</v>
      </c>
      <c r="C4" s="5" t="n">
        <f aca="false">B4*Assumptions!$B$30/12</f>
        <v>65.8333333333333</v>
      </c>
      <c r="D4" s="5" t="n">
        <f aca="false">IF((Assumptions!$B$14+Assumptions!$C$14+Assumptions!$D$14+Assumptions!$E$14)=0,0,Assumptions!$B$17*(Assumptions!$B$18/(Assumptions!$B$14+Assumptions!$C$14+Assumptions!$D$14+Assumptions!$E$14)+(1-Assumptions!$B$18)*Assumptions!$C$4*Assumptions!$C$5/(Assumptions!$B$14*Assumptions!$B$4*Assumptions!$B$5+Assumptions!$C$14*Assumptions!$C$4*Assumptions!$C$5+Assumptions!$D$14*Assumptions!$D$4*Assumptions!$D$5+Assumptions!$E$14*Assumptions!$E$4*Assumptions!$E$5)))</f>
        <v>13.578393442623</v>
      </c>
      <c r="E4" s="5" t="n">
        <f aca="false">Assumptions!$C$4*Assumptions!$C$5*Assumptions!$B$19/1000*Assumptions!$B$20+Assumptions!$C$4*Assumptions!$C$5*Assumptions!$B$21*Assumptions!$B$22+Assumptions!$C$6*Assumptions!$B$24/1000*Assumptions!$B$23</f>
        <v>0.489</v>
      </c>
      <c r="F4" s="5" t="n">
        <f aca="false">MIN(Assumptions!$C$7,Assumptions!$C$8)*Assumptions!$B$25</f>
        <v>30</v>
      </c>
      <c r="G4" s="5" t="n">
        <f aca="false">MAX(0,Assumptions!$C$8-Assumptions!$C$7)*Assumptions!$C$9*Assumptions!$B$26</f>
        <v>18</v>
      </c>
      <c r="H4" s="5" t="n">
        <f aca="false">MAX(0,Assumptions!$C$8-Assumptions!$C$7)*Assumptions!$C$9*Assumptions!$B$25</f>
        <v>12</v>
      </c>
      <c r="I4" s="5" t="n">
        <f aca="false">Assumptions!$C$10*Assumptions!$C$11/Assumptions!$B$27</f>
        <v>8.29166666666667</v>
      </c>
      <c r="J4" s="5" t="n">
        <f aca="false">(Assumptions!$C$11*Assumptions!$C$12+(1-Assumptions!$C$11)*Assumptions!$C$13)*Assumptions!$B$25/Assumptions!$B$27</f>
        <v>5</v>
      </c>
      <c r="K4" s="5" t="n">
        <f aca="false">(B4+G4+I4)*Assumptions!$B$28+Assumptions!$B$29</f>
        <v>3.45875</v>
      </c>
      <c r="L4" s="5" t="n">
        <f aca="false">(C4*12*Assumptions!$B$28+Assumptions!$B$29)/12+(G4+I4)*Assumptions!$B$28</f>
        <v>2.78875</v>
      </c>
      <c r="M4" s="5" t="n">
        <f aca="false">B4+G4+I4-D4-E4-F4-H4-J4-K4</f>
        <v>40.7655232240437</v>
      </c>
      <c r="N4" s="6" t="n">
        <f aca="false">IF(B4+G4+I4=0,0,M4/(B4+G4+I4))</f>
        <v>0.3871676127333</v>
      </c>
      <c r="O4" s="5" t="n">
        <f aca="false">C4+G4+I4-D4-E4-F4-H4-J4-L4</f>
        <v>28.268856557377</v>
      </c>
      <c r="P4" s="6" t="n">
        <f aca="false">IF(C4+G4+I4=0,0,O4/(C4+G4+I4))</f>
        <v>0.306853259781569</v>
      </c>
      <c r="Q4" s="7" t="n">
        <f aca="false">MIN(Assumptions!$C$7,Assumptions!$C$8)+MAX(0,Assumptions!$C$8-Assumptions!$C$7)*Assumptions!$C$9+(Assumptions!$C$11*Assumptions!$C$12+(1-Assumptions!$C$11)*Assumptions!$C$13)/Assumptions!$B$27</f>
        <v>1.175</v>
      </c>
    </row>
    <row r="5" customFormat="false" ht="15" hidden="false" customHeight="false" outlineLevel="0" collapsed="false">
      <c r="A5" s="3" t="s">
        <v>20</v>
      </c>
      <c r="B5" s="4" t="n">
        <f aca="false">Assumptions!$D$3</f>
        <v>199</v>
      </c>
      <c r="C5" s="5" t="n">
        <f aca="false">B5*Assumptions!$B$30/12</f>
        <v>165.833333333333</v>
      </c>
      <c r="D5" s="5" t="n">
        <f aca="false">IF((Assumptions!$B$14+Assumptions!$C$14+Assumptions!$D$14+Assumptions!$E$14)=0,0,Assumptions!$B$17*(Assumptions!$B$18/(Assumptions!$B$14+Assumptions!$C$14+Assumptions!$D$14+Assumptions!$E$14)+(1-Assumptions!$B$18)*Assumptions!$D$4*Assumptions!$D$5/(Assumptions!$B$14*Assumptions!$B$4*Assumptions!$B$5+Assumptions!$C$14*Assumptions!$C$4*Assumptions!$C$5+Assumptions!$D$14*Assumptions!$D$4*Assumptions!$D$5+Assumptions!$E$14*Assumptions!$E$4*Assumptions!$E$5)))</f>
        <v>26.9529836065574</v>
      </c>
      <c r="E5" s="5" t="n">
        <f aca="false">Assumptions!$D$4*Assumptions!$D$5*Assumptions!$B$19/1000*Assumptions!$B$20+Assumptions!$D$4*Assumptions!$D$5*Assumptions!$B$21*Assumptions!$B$22+Assumptions!$D$6*Assumptions!$B$24/1000*Assumptions!$B$23</f>
        <v>1.535</v>
      </c>
      <c r="F5" s="5" t="n">
        <f aca="false">MIN(Assumptions!$D$7,Assumptions!$D$8)*Assumptions!$B$25</f>
        <v>120</v>
      </c>
      <c r="G5" s="5" t="n">
        <f aca="false">MAX(0,Assumptions!$D$8-Assumptions!$D$7)*Assumptions!$D$9*Assumptions!$B$26</f>
        <v>0</v>
      </c>
      <c r="H5" s="5" t="n">
        <f aca="false">MAX(0,Assumptions!$D$8-Assumptions!$D$7)*Assumptions!$D$9*Assumptions!$B$25</f>
        <v>0</v>
      </c>
      <c r="I5" s="5" t="n">
        <f aca="false">Assumptions!$D$10*Assumptions!$D$11/Assumptions!$B$27</f>
        <v>16.625</v>
      </c>
      <c r="J5" s="5" t="n">
        <f aca="false">(Assumptions!$D$11*Assumptions!$D$12+(1-Assumptions!$D$11)*Assumptions!$D$13)*Assumptions!$B$25/Assumptions!$B$27</f>
        <v>10</v>
      </c>
      <c r="K5" s="5" t="n">
        <f aca="false">(B5+G5+I5)*Assumptions!$B$28+Assumptions!$B$29</f>
        <v>6.76875</v>
      </c>
      <c r="L5" s="5" t="n">
        <f aca="false">(C5*12*Assumptions!$B$28+Assumptions!$B$29)/12+(G5+I5)*Assumptions!$B$28</f>
        <v>5.49875</v>
      </c>
      <c r="M5" s="5" t="n">
        <f aca="false">B5+G5+I5-D5-E5-F5-H5-J5-K5</f>
        <v>50.3682663934426</v>
      </c>
      <c r="N5" s="6" t="n">
        <f aca="false">IF(B5+G5+I5=0,0,M5/(B5+G5+I5))</f>
        <v>0.233591960085531</v>
      </c>
      <c r="O5" s="5" t="n">
        <f aca="false">C5+G5+I5-D5-E5-F5-H5-J5-L5</f>
        <v>18.471599726776</v>
      </c>
      <c r="P5" s="6" t="n">
        <f aca="false">IF(C5+G5+I5=0,0,O5/(C5+G5+I5))</f>
        <v>0.101237358630423</v>
      </c>
      <c r="Q5" s="7" t="n">
        <f aca="false">MIN(Assumptions!$D$7,Assumptions!$D$8)+MAX(0,Assumptions!$D$8-Assumptions!$D$7)*Assumptions!$D$9+(Assumptions!$D$11*Assumptions!$D$12+(1-Assumptions!$D$11)*Assumptions!$D$13)/Assumptions!$B$27</f>
        <v>3.25</v>
      </c>
    </row>
    <row r="6" customFormat="false" ht="15" hidden="false" customHeight="false" outlineLevel="0" collapsed="false">
      <c r="A6" s="3" t="s">
        <v>21</v>
      </c>
      <c r="B6" s="4" t="n">
        <f aca="false">Assumptions!$E$3</f>
        <v>499</v>
      </c>
      <c r="C6" s="5" t="n">
        <f aca="false">B6*Assumptions!$B$30/12</f>
        <v>415.833333333333</v>
      </c>
      <c r="D6" s="5" t="n">
        <f aca="false">IF((Assumptions!$B$14+Assumptions!$C$14+Assumptions!$D$14+Assumptions!$E$14)=0,0,Assumptions!$B$17*(Assumptions!$B$18/(Assumptions!$B$14+Assumptions!$C$14+Assumptions!$D$14+Assumptions!$E$14)+(1-Assumptions!$B$18)*Assumptions!$E$4*Assumptions!$E$5/(Assumptions!$B$14*Assumptions!$B$4*Assumptions!$B$5+Assumptions!$C$14*Assumptions!$C$4*Assumptions!$C$5+Assumptions!$D$14*Assumptions!$D$4*Assumptions!$D$5+Assumptions!$E$14*Assumptions!$E$4*Assumptions!$E$5)))</f>
        <v>49.2439672131148</v>
      </c>
      <c r="E6" s="5" t="n">
        <f aca="false">Assumptions!$E$4*Assumptions!$E$5*Assumptions!$B$19/1000*Assumptions!$B$20+Assumptions!$E$4*Assumptions!$E$5*Assumptions!$B$21*Assumptions!$B$22+Assumptions!$E$6*Assumptions!$B$24/1000*Assumptions!$B$23</f>
        <v>3.07</v>
      </c>
      <c r="F6" s="5" t="n">
        <f aca="false">MIN(Assumptions!$E$7,Assumptions!$E$8)*Assumptions!$B$25</f>
        <v>240</v>
      </c>
      <c r="G6" s="5" t="n">
        <f aca="false">MAX(0,Assumptions!$E$8-Assumptions!$E$7)*Assumptions!$E$9*Assumptions!$B$26</f>
        <v>0</v>
      </c>
      <c r="H6" s="5" t="n">
        <f aca="false">MAX(0,Assumptions!$E$8-Assumptions!$E$7)*Assumptions!$E$9*Assumptions!$B$25</f>
        <v>0</v>
      </c>
      <c r="I6" s="5" t="n">
        <f aca="false">Assumptions!$E$10*Assumptions!$E$11/Assumptions!$B$27</f>
        <v>33.2916666666667</v>
      </c>
      <c r="J6" s="5" t="n">
        <f aca="false">(Assumptions!$E$11*Assumptions!$E$12+(1-Assumptions!$E$11)*Assumptions!$E$13)*Assumptions!$B$25/Assumptions!$B$27</f>
        <v>20</v>
      </c>
      <c r="K6" s="5" t="n">
        <f aca="false">(B6+G6+I6)*Assumptions!$B$28+Assumptions!$B$29</f>
        <v>16.26875</v>
      </c>
      <c r="L6" s="5" t="n">
        <f aca="false">(C6*12*Assumptions!$B$28+Assumptions!$B$29)/12+(G6+I6)*Assumptions!$B$28</f>
        <v>13.49875</v>
      </c>
      <c r="M6" s="5" t="n">
        <f aca="false">B6+G6+I6-D6-E6-F6-H6-J6-K6</f>
        <v>203.708949453552</v>
      </c>
      <c r="N6" s="6" t="n">
        <f aca="false">IF(B6+G6+I6=0,0,M6/(B6+G6+I6))</f>
        <v>0.382701744570274</v>
      </c>
      <c r="O6" s="5" t="n">
        <f aca="false">C6+G6+I6-D6-E6-F6-H6-J6-L6</f>
        <v>123.312282786885</v>
      </c>
      <c r="P6" s="6" t="n">
        <f aca="false">IF(C6+G6+I6=0,0,O6/(C6+G6+I6))</f>
        <v>0.274561164011991</v>
      </c>
      <c r="Q6" s="7" t="n">
        <f aca="false">MIN(Assumptions!$E$7,Assumptions!$E$8)+MAX(0,Assumptions!$E$8-Assumptions!$E$7)*Assumptions!$E$9+(Assumptions!$E$11*Assumptions!$E$12+(1-Assumptions!$E$11)*Assumptions!$E$13)/Assumptions!$B$27</f>
        <v>6.5</v>
      </c>
    </row>
    <row r="7" customFormat="false" ht="15" hidden="false" customHeight="false" outlineLevel="0" collapsed="false">
      <c r="A7" s="3" t="s">
        <v>22</v>
      </c>
      <c r="B7" s="8" t="n">
        <f aca="false">Assumptions!$B$14*B3+Assumptions!$C$14*B4+Assumptions!$D$14*B5+Assumptions!$E$14*B6</f>
        <v>10400</v>
      </c>
      <c r="C7" s="8" t="n">
        <f aca="false">Assumptions!$B$14*C3+Assumptions!$C$14*C4+Assumptions!$D$14*C5+Assumptions!$E$14*C6</f>
        <v>8666.66666666667</v>
      </c>
      <c r="D7" s="8"/>
      <c r="E7" s="8"/>
      <c r="F7" s="8"/>
      <c r="G7" s="8" t="n">
        <f aca="false">Assumptions!$B$14*G3+Assumptions!$C$14*G4+Assumptions!$D$14*G5+Assumptions!$E$14*G6</f>
        <v>870</v>
      </c>
      <c r="H7" s="8"/>
      <c r="I7" s="8" t="n">
        <f aca="false">Assumptions!$B$14*I3+Assumptions!$C$14*I4+Assumptions!$D$14*I5+Assumptions!$E$14*I6</f>
        <v>838.666666666667</v>
      </c>
      <c r="J7" s="8"/>
      <c r="K7" s="8"/>
      <c r="L7" s="8"/>
      <c r="M7" s="8" t="n">
        <f aca="false">Assumptions!$B$14*M3+Assumptions!$C$14*M4+Assumptions!$D$14*M5+Assumptions!$E$14*M6</f>
        <v>3934.54033333333</v>
      </c>
      <c r="N7" s="9" t="n">
        <f aca="false">IF(B7+G7+I7=0,0,M7/(B7+G7+I7))</f>
        <v>0.324935886142157</v>
      </c>
      <c r="O7" s="8" t="n">
        <f aca="false">Assumptions!$B$14*O3+Assumptions!$C$14*O4+Assumptions!$D$14*O5+Assumptions!$E$14*O6</f>
        <v>2280.707</v>
      </c>
      <c r="P7" s="9" t="n">
        <f aca="false">IF(C7+G7+I7=0,0,O7/(C7+G7+I7))</f>
        <v>0.219820118229133</v>
      </c>
      <c r="Q7" s="8"/>
    </row>
    <row r="8" customFormat="false" ht="15" hidden="false" customHeight="false" outlineLevel="0" collapsed="false">
      <c r="A8" s="10" t="s">
        <v>23</v>
      </c>
    </row>
    <row r="10" customFormat="false" ht="15" hidden="false" customHeight="false" outlineLevel="0" collapsed="false">
      <c r="A10" s="1" t="s">
        <v>24</v>
      </c>
    </row>
    <row r="11" customFormat="false" ht="43.5" hidden="false" customHeight="true" outlineLevel="0" collapsed="false">
      <c r="A11" s="2" t="s">
        <v>1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</row>
    <row r="12" customFormat="false" ht="15" hidden="false" customHeight="false" outlineLevel="0" collapsed="false">
      <c r="A12" s="3" t="s">
        <v>18</v>
      </c>
      <c r="B12" s="5" t="n">
        <f aca="false">C3-D3-E3-Assumptions!$B$8*Assumptions!$B$25-(C3*12*Assumptions!$B$28+Assumptions!$B$29)/12</f>
        <v>-4.05445136612022</v>
      </c>
      <c r="C12" s="6" t="n">
        <f aca="false">IF(C3=0,0,B12/C3)</f>
        <v>-0.167770401356699</v>
      </c>
      <c r="D12" s="5" t="n">
        <f aca="false">O3</f>
        <v>7.63259030054645</v>
      </c>
      <c r="E12" s="6" t="n">
        <f aca="false">P3</f>
        <v>0.243043873176482</v>
      </c>
      <c r="F12" s="5" t="n">
        <f aca="false">D12-B12</f>
        <v>11.6870416666667</v>
      </c>
    </row>
    <row r="13" customFormat="false" ht="15" hidden="false" customHeight="false" outlineLevel="0" collapsed="false">
      <c r="A13" s="3" t="s">
        <v>19</v>
      </c>
      <c r="B13" s="5" t="n">
        <f aca="false">C4-D4-E4-Assumptions!$C$8*Assumptions!$B$25-(C4*12*Assumptions!$B$28+Assumptions!$B$29)/12</f>
        <v>-10.2340601092896</v>
      </c>
      <c r="C13" s="6" t="n">
        <f aca="false">IF(C4=0,0,B13/C4)</f>
        <v>-0.155454077609463</v>
      </c>
      <c r="D13" s="5" t="n">
        <f aca="false">O4</f>
        <v>28.268856557377</v>
      </c>
      <c r="E13" s="6" t="n">
        <f aca="false">P4</f>
        <v>0.306853259781569</v>
      </c>
      <c r="F13" s="5" t="n">
        <f aca="false">D13-B13</f>
        <v>38.5029166666667</v>
      </c>
    </row>
    <row r="14" customFormat="false" ht="15" hidden="false" customHeight="false" outlineLevel="0" collapsed="false">
      <c r="A14" s="3" t="s">
        <v>20</v>
      </c>
      <c r="B14" s="5" t="n">
        <f aca="false">C5-D5-E5-Assumptions!$D$8*Assumptions!$B$25-(C5*12*Assumptions!$B$28+Assumptions!$B$29)/12</f>
        <v>12.345349726776</v>
      </c>
      <c r="C14" s="6" t="n">
        <f aca="false">IF(C5=0,0,B14/C5)</f>
        <v>0.0744443199604581</v>
      </c>
      <c r="D14" s="5" t="n">
        <f aca="false">O5</f>
        <v>18.471599726776</v>
      </c>
      <c r="E14" s="6" t="n">
        <f aca="false">P5</f>
        <v>0.101237358630423</v>
      </c>
      <c r="F14" s="5" t="n">
        <f aca="false">D14-B14</f>
        <v>6.12625</v>
      </c>
    </row>
    <row r="15" customFormat="false" ht="15" hidden="false" customHeight="false" outlineLevel="0" collapsed="false">
      <c r="A15" s="3" t="s">
        <v>21</v>
      </c>
      <c r="B15" s="5" t="n">
        <f aca="false">C6-D6-E6-Assumptions!$E$8*Assumptions!$B$25-(C6*12*Assumptions!$B$28+Assumptions!$B$29)/12</f>
        <v>111.019366120219</v>
      </c>
      <c r="C15" s="6" t="n">
        <f aca="false">IF(C6=0,0,B15/C6)</f>
        <v>0.26698043956766</v>
      </c>
      <c r="D15" s="5" t="n">
        <f aca="false">O6</f>
        <v>123.312282786885</v>
      </c>
      <c r="E15" s="6" t="n">
        <f aca="false">P6</f>
        <v>0.274561164011991</v>
      </c>
      <c r="F15" s="5" t="n">
        <f aca="false">D15-B15</f>
        <v>12.2929166666667</v>
      </c>
    </row>
    <row r="18" customFormat="false" ht="15" hidden="false" customHeight="false" outlineLevel="0" collapsed="false">
      <c r="A18" s="1" t="s">
        <v>30</v>
      </c>
    </row>
    <row r="19" customFormat="false" ht="30" hidden="false" customHeight="true" outlineLevel="0" collapsed="false">
      <c r="A19" s="2" t="s">
        <v>1</v>
      </c>
      <c r="B19" s="2" t="s">
        <v>31</v>
      </c>
      <c r="C19" s="2" t="s">
        <v>32</v>
      </c>
      <c r="D19" s="2" t="s">
        <v>33</v>
      </c>
      <c r="E19" s="2" t="s">
        <v>34</v>
      </c>
      <c r="F19" s="2" t="s">
        <v>35</v>
      </c>
    </row>
    <row r="20" customFormat="false" ht="15" hidden="false" customHeight="false" outlineLevel="0" collapsed="false">
      <c r="A20" s="3" t="s">
        <v>18</v>
      </c>
      <c r="B20" s="5" t="n">
        <f aca="false">O3+(Assumptions!$B$25-20)*Q3</f>
        <v>15.2992569672131</v>
      </c>
      <c r="C20" s="5" t="n">
        <f aca="false">O3+(Assumptions!$B$25-30)*Q3</f>
        <v>11.4659236338798</v>
      </c>
      <c r="D20" s="5" t="n">
        <f aca="false">O3+(Assumptions!$B$25-40)*Q3</f>
        <v>7.63259030054645</v>
      </c>
      <c r="E20" s="5" t="n">
        <f aca="false">O3+(Assumptions!$B$25-50)*Q3</f>
        <v>3.79925696721312</v>
      </c>
      <c r="F20" s="5" t="n">
        <f aca="false">O3+(Assumptions!$B$25-60)*Q3</f>
        <v>-0.0340763661202148</v>
      </c>
    </row>
    <row r="21" customFormat="false" ht="15" hidden="false" customHeight="false" outlineLevel="0" collapsed="false">
      <c r="A21" s="3" t="s">
        <v>19</v>
      </c>
      <c r="B21" s="5" t="n">
        <f aca="false">O4+(Assumptions!$B$25-20)*Q4</f>
        <v>51.768856557377</v>
      </c>
      <c r="C21" s="5" t="n">
        <f aca="false">O4+(Assumptions!$B$25-30)*Q4</f>
        <v>40.018856557377</v>
      </c>
      <c r="D21" s="5" t="n">
        <f aca="false">O4+(Assumptions!$B$25-40)*Q4</f>
        <v>28.268856557377</v>
      </c>
      <c r="E21" s="5" t="n">
        <f aca="false">O4+(Assumptions!$B$25-50)*Q4</f>
        <v>16.518856557377</v>
      </c>
      <c r="F21" s="5" t="n">
        <f aca="false">O4+(Assumptions!$B$25-60)*Q4</f>
        <v>4.76885655737704</v>
      </c>
    </row>
    <row r="22" customFormat="false" ht="15" hidden="false" customHeight="false" outlineLevel="0" collapsed="false">
      <c r="A22" s="3" t="s">
        <v>20</v>
      </c>
      <c r="B22" s="5" t="n">
        <f aca="false">O5+(Assumptions!$B$25-20)*Q5</f>
        <v>83.471599726776</v>
      </c>
      <c r="C22" s="5" t="n">
        <f aca="false">O5+(Assumptions!$B$25-30)*Q5</f>
        <v>50.971599726776</v>
      </c>
      <c r="D22" s="5" t="n">
        <f aca="false">O5+(Assumptions!$B$25-40)*Q5</f>
        <v>18.471599726776</v>
      </c>
      <c r="E22" s="5" t="n">
        <f aca="false">O5+(Assumptions!$B$25-50)*Q5</f>
        <v>-14.028400273224</v>
      </c>
      <c r="F22" s="5" t="n">
        <f aca="false">O5+(Assumptions!$B$25-60)*Q5</f>
        <v>-46.528400273224</v>
      </c>
    </row>
    <row r="23" customFormat="false" ht="15" hidden="false" customHeight="false" outlineLevel="0" collapsed="false">
      <c r="A23" s="3" t="s">
        <v>21</v>
      </c>
      <c r="B23" s="5" t="n">
        <f aca="false">O6+(Assumptions!$B$25-20)*Q6</f>
        <v>253.312282786885</v>
      </c>
      <c r="C23" s="5" t="n">
        <f aca="false">O6+(Assumptions!$B$25-30)*Q6</f>
        <v>188.312282786885</v>
      </c>
      <c r="D23" s="5" t="n">
        <f aca="false">O6+(Assumptions!$B$25-40)*Q6</f>
        <v>123.312282786885</v>
      </c>
      <c r="E23" s="5" t="n">
        <f aca="false">O6+(Assumptions!$B$25-50)*Q6</f>
        <v>58.3122827868853</v>
      </c>
      <c r="F23" s="5" t="n">
        <f aca="false">O6+(Assumptions!$B$25-60)*Q6</f>
        <v>-6.68771721311472</v>
      </c>
    </row>
    <row r="24" customFormat="false" ht="15" hidden="false" customHeight="false" outlineLevel="0" collapsed="false">
      <c r="A24" s="1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1" t="s">
        <v>37</v>
      </c>
    </row>
    <row r="2" customFormat="false" ht="15" hidden="false" customHeight="false" outlineLevel="0" collapsed="false">
      <c r="A2" s="12" t="s">
        <v>38</v>
      </c>
    </row>
    <row r="3" customFormat="false" ht="15" hidden="false" customHeight="false" outlineLevel="0" collapsed="false">
      <c r="A3" s="12"/>
    </row>
    <row r="4" customFormat="false" ht="15" hidden="false" customHeight="false" outlineLevel="0" collapsed="false">
      <c r="A4" s="13" t="s">
        <v>39</v>
      </c>
    </row>
    <row r="5" customFormat="false" ht="26.85" hidden="false" customHeight="false" outlineLevel="0" collapsed="false">
      <c r="A5" s="12" t="s">
        <v>40</v>
      </c>
    </row>
    <row r="6" customFormat="false" ht="26.85" hidden="false" customHeight="false" outlineLevel="0" collapsed="false">
      <c r="A6" s="12" t="s">
        <v>41</v>
      </c>
    </row>
    <row r="7" customFormat="false" ht="15" hidden="false" customHeight="false" outlineLevel="0" collapsed="false">
      <c r="A7" s="12" t="s">
        <v>42</v>
      </c>
    </row>
    <row r="8" customFormat="false" ht="15" hidden="false" customHeight="false" outlineLevel="0" collapsed="false">
      <c r="A8" s="12" t="s">
        <v>43</v>
      </c>
    </row>
    <row r="9" customFormat="false" ht="15" hidden="false" customHeight="false" outlineLevel="0" collapsed="false">
      <c r="A9" s="12"/>
    </row>
    <row r="10" customFormat="false" ht="15" hidden="false" customHeight="false" outlineLevel="0" collapsed="false">
      <c r="A10" s="13" t="s">
        <v>44</v>
      </c>
    </row>
    <row r="11" customFormat="false" ht="15" hidden="false" customHeight="false" outlineLevel="0" collapsed="false">
      <c r="A11" s="12" t="s">
        <v>45</v>
      </c>
    </row>
    <row r="12" customFormat="false" ht="15" hidden="false" customHeight="false" outlineLevel="0" collapsed="false">
      <c r="A12" s="12" t="s">
        <v>46</v>
      </c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3" t="s">
        <v>47</v>
      </c>
    </row>
    <row r="15" customFormat="false" ht="26.85" hidden="false" customHeight="false" outlineLevel="0" collapsed="false">
      <c r="A15" s="12" t="s">
        <v>48</v>
      </c>
    </row>
    <row r="16" customFormat="false" ht="15" hidden="false" customHeight="false" outlineLevel="0" collapsed="false">
      <c r="A16" s="1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3"/>
    <col collapsed="false" customWidth="true" hidden="false" outlineLevel="0" max="6" min="6" style="0" width="78"/>
  </cols>
  <sheetData>
    <row r="1" customFormat="false" ht="16.15" hidden="false" customHeight="false" outlineLevel="0" collapsed="false">
      <c r="A1" s="14" t="s">
        <v>50</v>
      </c>
    </row>
    <row r="2" customFormat="false" ht="15" hidden="false" customHeight="false" outlineLevel="0" collapsed="false">
      <c r="A2" s="2" t="s">
        <v>51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52</v>
      </c>
    </row>
    <row r="3" customFormat="false" ht="15" hidden="false" customHeight="false" outlineLevel="0" collapsed="false">
      <c r="A3" s="15" t="s">
        <v>53</v>
      </c>
      <c r="B3" s="16" t="n">
        <v>29</v>
      </c>
      <c r="C3" s="16" t="n">
        <v>79</v>
      </c>
      <c r="D3" s="16" t="n">
        <v>199</v>
      </c>
      <c r="E3" s="16" t="n">
        <v>499</v>
      </c>
      <c r="F3" s="17" t="s">
        <v>54</v>
      </c>
    </row>
    <row r="4" customFormat="false" ht="15" hidden="false" customHeight="false" outlineLevel="0" collapsed="false">
      <c r="A4" s="15" t="s">
        <v>55</v>
      </c>
      <c r="B4" s="18" t="n">
        <v>3</v>
      </c>
      <c r="C4" s="18" t="n">
        <v>10</v>
      </c>
      <c r="D4" s="18" t="n">
        <v>25</v>
      </c>
      <c r="E4" s="18" t="n">
        <v>50</v>
      </c>
      <c r="F4" s="17" t="s">
        <v>56</v>
      </c>
    </row>
    <row r="5" customFormat="false" ht="15" hidden="false" customHeight="false" outlineLevel="0" collapsed="false">
      <c r="A5" s="15" t="s">
        <v>57</v>
      </c>
      <c r="B5" s="19" t="n">
        <v>0.7</v>
      </c>
      <c r="C5" s="19" t="n">
        <v>0.7</v>
      </c>
      <c r="D5" s="19" t="n">
        <v>0.7</v>
      </c>
      <c r="E5" s="19" t="n">
        <v>0.7</v>
      </c>
      <c r="F5" s="17" t="s">
        <v>58</v>
      </c>
    </row>
    <row r="6" customFormat="false" ht="15" hidden="false" customHeight="false" outlineLevel="0" collapsed="false">
      <c r="A6" s="15" t="s">
        <v>59</v>
      </c>
      <c r="B6" s="20" t="n">
        <v>1000</v>
      </c>
      <c r="C6" s="20" t="n">
        <v>5000</v>
      </c>
      <c r="D6" s="20" t="n">
        <v>25000</v>
      </c>
      <c r="E6" s="20" t="n">
        <v>50000</v>
      </c>
      <c r="F6" s="17" t="s">
        <v>60</v>
      </c>
    </row>
    <row r="7" customFormat="false" ht="15" hidden="false" customHeight="false" outlineLevel="0" collapsed="false">
      <c r="A7" s="15" t="s">
        <v>61</v>
      </c>
      <c r="B7" s="21" t="n">
        <v>0.25</v>
      </c>
      <c r="C7" s="21" t="n">
        <v>0.75</v>
      </c>
      <c r="D7" s="21" t="n">
        <v>3</v>
      </c>
      <c r="E7" s="21" t="n">
        <v>6</v>
      </c>
      <c r="F7" s="17" t="s">
        <v>62</v>
      </c>
    </row>
    <row r="8" customFormat="false" ht="15" hidden="false" customHeight="false" outlineLevel="0" collapsed="false">
      <c r="A8" s="15" t="s">
        <v>63</v>
      </c>
      <c r="B8" s="21" t="n">
        <v>0.5</v>
      </c>
      <c r="C8" s="21" t="n">
        <v>1.5</v>
      </c>
      <c r="D8" s="21" t="n">
        <v>3</v>
      </c>
      <c r="E8" s="21" t="n">
        <v>6</v>
      </c>
      <c r="F8" s="17" t="s">
        <v>64</v>
      </c>
    </row>
    <row r="9" customFormat="false" ht="15" hidden="false" customHeight="false" outlineLevel="0" collapsed="false">
      <c r="A9" s="15" t="s">
        <v>65</v>
      </c>
      <c r="B9" s="19" t="n">
        <v>0.4</v>
      </c>
      <c r="C9" s="19" t="n">
        <v>0.4</v>
      </c>
      <c r="D9" s="19" t="n">
        <v>0.4</v>
      </c>
      <c r="E9" s="19" t="n">
        <v>0.4</v>
      </c>
      <c r="F9" s="17" t="s">
        <v>66</v>
      </c>
    </row>
    <row r="10" customFormat="false" ht="15" hidden="false" customHeight="false" outlineLevel="0" collapsed="false">
      <c r="A10" s="15" t="s">
        <v>67</v>
      </c>
      <c r="B10" s="22" t="n">
        <v>99</v>
      </c>
      <c r="C10" s="22" t="n">
        <v>199</v>
      </c>
      <c r="D10" s="22" t="n">
        <v>399</v>
      </c>
      <c r="E10" s="22" t="n">
        <v>799</v>
      </c>
      <c r="F10" s="17" t="s">
        <v>68</v>
      </c>
    </row>
    <row r="11" customFormat="false" ht="15" hidden="false" customHeight="false" outlineLevel="0" collapsed="false">
      <c r="A11" s="15" t="s">
        <v>69</v>
      </c>
      <c r="B11" s="19" t="n">
        <v>0.3</v>
      </c>
      <c r="C11" s="19" t="n">
        <v>1</v>
      </c>
      <c r="D11" s="19" t="n">
        <v>1</v>
      </c>
      <c r="E11" s="19" t="n">
        <v>1</v>
      </c>
      <c r="F11" s="17" t="s">
        <v>70</v>
      </c>
    </row>
    <row r="12" customFormat="false" ht="15" hidden="false" customHeight="false" outlineLevel="0" collapsed="false">
      <c r="A12" s="15" t="s">
        <v>71</v>
      </c>
      <c r="B12" s="23" t="n">
        <v>1.5</v>
      </c>
      <c r="C12" s="23" t="n">
        <v>3</v>
      </c>
      <c r="D12" s="23" t="n">
        <v>6</v>
      </c>
      <c r="E12" s="23" t="n">
        <v>12</v>
      </c>
      <c r="F12" s="17" t="s">
        <v>72</v>
      </c>
    </row>
    <row r="13" customFormat="false" ht="15" hidden="false" customHeight="false" outlineLevel="0" collapsed="false">
      <c r="A13" s="15" t="s">
        <v>73</v>
      </c>
      <c r="B13" s="23" t="n">
        <v>0.5</v>
      </c>
      <c r="C13" s="23" t="n">
        <v>0.5</v>
      </c>
      <c r="D13" s="23" t="n">
        <v>0</v>
      </c>
      <c r="E13" s="23" t="n">
        <v>0</v>
      </c>
      <c r="F13" s="17" t="s">
        <v>74</v>
      </c>
    </row>
    <row r="14" customFormat="false" ht="15" hidden="false" customHeight="false" outlineLevel="0" collapsed="false">
      <c r="A14" s="15" t="s">
        <v>75</v>
      </c>
      <c r="B14" s="18" t="n">
        <v>40</v>
      </c>
      <c r="C14" s="18" t="n">
        <v>35</v>
      </c>
      <c r="D14" s="18" t="n">
        <v>20</v>
      </c>
      <c r="E14" s="18" t="n">
        <v>5</v>
      </c>
      <c r="F14" s="17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/>
      <c r="D16" s="2"/>
      <c r="E16" s="2"/>
      <c r="F16" s="2" t="s">
        <v>52</v>
      </c>
    </row>
    <row r="17" customFormat="false" ht="15" hidden="false" customHeight="false" outlineLevel="0" collapsed="false">
      <c r="A17" s="15" t="s">
        <v>79</v>
      </c>
      <c r="B17" s="16" t="n">
        <v>1554</v>
      </c>
      <c r="F17" s="17" t="s">
        <v>80</v>
      </c>
    </row>
    <row r="18" customFormat="false" ht="15" hidden="false" customHeight="false" outlineLevel="0" collapsed="false">
      <c r="A18" s="15" t="s">
        <v>81</v>
      </c>
      <c r="B18" s="19" t="n">
        <v>0.3</v>
      </c>
      <c r="F18" s="17" t="s">
        <v>82</v>
      </c>
    </row>
    <row r="19" customFormat="false" ht="15" hidden="false" customHeight="false" outlineLevel="0" collapsed="false">
      <c r="A19" s="15" t="s">
        <v>83</v>
      </c>
      <c r="B19" s="18" t="n">
        <v>20</v>
      </c>
      <c r="F19" s="17" t="s">
        <v>58</v>
      </c>
    </row>
    <row r="20" customFormat="false" ht="15" hidden="false" customHeight="false" outlineLevel="0" collapsed="false">
      <c r="A20" s="15" t="s">
        <v>84</v>
      </c>
      <c r="B20" s="24" t="n">
        <v>0.1</v>
      </c>
      <c r="F20" s="17" t="s">
        <v>85</v>
      </c>
    </row>
    <row r="21" customFormat="false" ht="15" hidden="false" customHeight="false" outlineLevel="0" collapsed="false">
      <c r="A21" s="15" t="s">
        <v>86</v>
      </c>
      <c r="B21" s="23" t="n">
        <v>1</v>
      </c>
      <c r="F21" s="17" t="s">
        <v>58</v>
      </c>
    </row>
    <row r="22" customFormat="false" ht="15" hidden="false" customHeight="false" outlineLevel="0" collapsed="false">
      <c r="A22" s="15" t="s">
        <v>87</v>
      </c>
      <c r="B22" s="24" t="n">
        <v>0.05</v>
      </c>
      <c r="F22" s="17" t="s">
        <v>58</v>
      </c>
    </row>
    <row r="23" customFormat="false" ht="15" hidden="false" customHeight="false" outlineLevel="0" collapsed="false">
      <c r="A23" s="15" t="s">
        <v>88</v>
      </c>
      <c r="B23" s="24" t="n">
        <v>0.05</v>
      </c>
      <c r="F23" s="17" t="s">
        <v>58</v>
      </c>
    </row>
    <row r="24" customFormat="false" ht="15" hidden="false" customHeight="false" outlineLevel="0" collapsed="false">
      <c r="A24" s="15" t="s">
        <v>89</v>
      </c>
      <c r="B24" s="19" t="n">
        <v>0.5</v>
      </c>
      <c r="F24" s="17" t="s">
        <v>58</v>
      </c>
    </row>
    <row r="25" customFormat="false" ht="15" hidden="false" customHeight="false" outlineLevel="0" collapsed="false">
      <c r="A25" s="15" t="s">
        <v>90</v>
      </c>
      <c r="B25" s="22" t="n">
        <v>40</v>
      </c>
      <c r="F25" s="17" t="s">
        <v>91</v>
      </c>
    </row>
    <row r="26" customFormat="false" ht="15" hidden="false" customHeight="false" outlineLevel="0" collapsed="false">
      <c r="A26" s="15" t="s">
        <v>92</v>
      </c>
      <c r="B26" s="22" t="n">
        <v>60</v>
      </c>
      <c r="F26" s="17" t="s">
        <v>93</v>
      </c>
    </row>
    <row r="27" customFormat="false" ht="15" hidden="false" customHeight="false" outlineLevel="0" collapsed="false">
      <c r="A27" s="15" t="s">
        <v>94</v>
      </c>
      <c r="B27" s="18" t="n">
        <v>24</v>
      </c>
      <c r="F27" s="17" t="s">
        <v>95</v>
      </c>
    </row>
    <row r="28" customFormat="false" ht="15" hidden="false" customHeight="false" outlineLevel="0" collapsed="false">
      <c r="A28" s="15" t="s">
        <v>96</v>
      </c>
      <c r="B28" s="19" t="n">
        <v>0.03</v>
      </c>
      <c r="F28" s="17" t="s">
        <v>97</v>
      </c>
    </row>
    <row r="29" customFormat="false" ht="15" hidden="false" customHeight="false" outlineLevel="0" collapsed="false">
      <c r="A29" s="15" t="s">
        <v>98</v>
      </c>
      <c r="B29" s="24" t="n">
        <v>0.3</v>
      </c>
      <c r="F29" s="17" t="s">
        <v>99</v>
      </c>
    </row>
    <row r="30" customFormat="false" ht="15" hidden="false" customHeight="false" outlineLevel="0" collapsed="false">
      <c r="A30" s="15" t="s">
        <v>100</v>
      </c>
      <c r="B30" s="18" t="n">
        <v>10</v>
      </c>
      <c r="F30" s="17" t="s">
        <v>101</v>
      </c>
    </row>
    <row r="32" customFormat="false" ht="15" hidden="false" customHeight="false" outlineLevel="0" collapsed="false">
      <c r="A32" s="2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4" t="s">
        <v>103</v>
      </c>
    </row>
    <row r="2" customFormat="false" ht="15" hidden="false" customHeight="false" outlineLevel="0" collapsed="false">
      <c r="A2" s="17" t="s">
        <v>104</v>
      </c>
    </row>
    <row r="4" customFormat="false" ht="15" hidden="false" customHeight="false" outlineLevel="0" collapsed="false">
      <c r="A4" s="2" t="s">
        <v>105</v>
      </c>
      <c r="B4" s="2" t="s">
        <v>106</v>
      </c>
      <c r="C4" s="2" t="s">
        <v>107</v>
      </c>
      <c r="D4" s="2" t="s">
        <v>108</v>
      </c>
    </row>
    <row r="5" customFormat="false" ht="15" hidden="false" customHeight="false" outlineLevel="0" collapsed="false">
      <c r="A5" s="15" t="s">
        <v>109</v>
      </c>
      <c r="B5" s="18" t="n">
        <v>3</v>
      </c>
      <c r="C5" s="18" t="n">
        <v>5</v>
      </c>
      <c r="D5" s="17" t="s">
        <v>110</v>
      </c>
    </row>
    <row r="6" customFormat="false" ht="15" hidden="false" customHeight="false" outlineLevel="0" collapsed="false">
      <c r="A6" s="15" t="s">
        <v>111</v>
      </c>
      <c r="B6" s="18" t="n">
        <v>90</v>
      </c>
      <c r="C6" s="18" t="n">
        <v>90</v>
      </c>
      <c r="D6" s="17" t="s">
        <v>112</v>
      </c>
    </row>
    <row r="7" customFormat="false" ht="15" hidden="false" customHeight="false" outlineLevel="0" collapsed="false">
      <c r="A7" s="15" t="s">
        <v>113</v>
      </c>
      <c r="B7" s="23" t="n">
        <v>8</v>
      </c>
      <c r="C7" s="23" t="n">
        <v>8</v>
      </c>
      <c r="D7" s="17" t="s">
        <v>114</v>
      </c>
    </row>
    <row r="8" customFormat="false" ht="15" hidden="false" customHeight="false" outlineLevel="0" collapsed="false">
      <c r="A8" s="15" t="s">
        <v>115</v>
      </c>
      <c r="B8" s="18" t="n">
        <v>2</v>
      </c>
      <c r="C8" s="18" t="n">
        <v>2</v>
      </c>
      <c r="D8" s="17" t="s">
        <v>116</v>
      </c>
    </row>
    <row r="9" customFormat="false" ht="15" hidden="false" customHeight="false" outlineLevel="0" collapsed="false">
      <c r="A9" s="15" t="s">
        <v>117</v>
      </c>
      <c r="B9" s="23" t="n">
        <v>4</v>
      </c>
      <c r="C9" s="23" t="n">
        <v>4</v>
      </c>
      <c r="D9" s="17" t="s">
        <v>118</v>
      </c>
    </row>
    <row r="10" customFormat="false" ht="15" hidden="false" customHeight="false" outlineLevel="0" collapsed="false">
      <c r="A10" s="15" t="s">
        <v>119</v>
      </c>
      <c r="B10" s="23" t="n">
        <v>1.5</v>
      </c>
      <c r="C10" s="23" t="n">
        <v>1.5</v>
      </c>
      <c r="D10" s="17" t="s">
        <v>120</v>
      </c>
    </row>
    <row r="11" customFormat="false" ht="15" hidden="false" customHeight="false" outlineLevel="0" collapsed="false">
      <c r="A11" s="15" t="s">
        <v>121</v>
      </c>
      <c r="B11" s="16" t="n">
        <v>441</v>
      </c>
      <c r="C11" s="16" t="n">
        <v>441</v>
      </c>
      <c r="D11" s="17" t="s">
        <v>122</v>
      </c>
    </row>
    <row r="12" customFormat="false" ht="15" hidden="false" customHeight="false" outlineLevel="0" collapsed="false">
      <c r="A12" s="15" t="s">
        <v>123</v>
      </c>
      <c r="B12" s="16" t="n">
        <v>5</v>
      </c>
      <c r="C12" s="16" t="n">
        <v>5</v>
      </c>
      <c r="D12" s="17" t="s">
        <v>124</v>
      </c>
    </row>
    <row r="13" customFormat="false" ht="15" hidden="false" customHeight="false" outlineLevel="0" collapsed="false">
      <c r="A13" s="15" t="s">
        <v>125</v>
      </c>
      <c r="B13" s="16" t="n">
        <v>0</v>
      </c>
      <c r="C13" s="16" t="n">
        <v>0</v>
      </c>
      <c r="D13" s="17" t="s">
        <v>126</v>
      </c>
    </row>
    <row r="14" customFormat="false" ht="15" hidden="false" customHeight="false" outlineLevel="0" collapsed="false">
      <c r="A14" s="15" t="s">
        <v>127</v>
      </c>
      <c r="B14" s="19" t="n">
        <v>0.15</v>
      </c>
      <c r="C14" s="19" t="n">
        <v>0.15</v>
      </c>
      <c r="D14" s="17" t="s">
        <v>128</v>
      </c>
    </row>
    <row r="15" customFormat="false" ht="15" hidden="false" customHeight="false" outlineLevel="0" collapsed="false">
      <c r="A15" s="15" t="s">
        <v>129</v>
      </c>
      <c r="B15" s="26" t="n">
        <f aca="false">Assumptions!$B$25</f>
        <v>40</v>
      </c>
      <c r="C15" s="26" t="n">
        <f aca="false">Assumptions!$B$25</f>
        <v>40</v>
      </c>
      <c r="D15" s="17" t="s">
        <v>130</v>
      </c>
    </row>
    <row r="17" customFormat="false" ht="15" hidden="false" customHeight="false" outlineLevel="0" collapsed="false">
      <c r="A17" s="2" t="s">
        <v>131</v>
      </c>
      <c r="B17" s="2" t="s">
        <v>106</v>
      </c>
      <c r="C17" s="2" t="s">
        <v>107</v>
      </c>
      <c r="D17" s="2" t="s">
        <v>132</v>
      </c>
    </row>
    <row r="18" customFormat="false" ht="15" hidden="false" customHeight="false" outlineLevel="0" collapsed="false">
      <c r="A18" s="15" t="s">
        <v>133</v>
      </c>
      <c r="B18" s="7" t="n">
        <f aca="false">B6/30.4</f>
        <v>2.96052631578947</v>
      </c>
      <c r="C18" s="7" t="n">
        <f aca="false">C6/30.4</f>
        <v>2.96052631578947</v>
      </c>
      <c r="D18" s="17" t="s">
        <v>134</v>
      </c>
    </row>
    <row r="19" customFormat="false" ht="15" hidden="false" customHeight="false" outlineLevel="0" collapsed="false">
      <c r="A19" s="15" t="s">
        <v>135</v>
      </c>
      <c r="B19" s="7" t="n">
        <f aca="false">B7+B8*B9+MAX(0,B6/7-B8)*B10</f>
        <v>32.2857142857143</v>
      </c>
      <c r="C19" s="7" t="n">
        <f aca="false">C7+C8*C9+MAX(0,C6/7-C8)*C10</f>
        <v>32.2857142857143</v>
      </c>
      <c r="D19" s="17" t="s">
        <v>136</v>
      </c>
    </row>
    <row r="20" customFormat="false" ht="15" hidden="false" customHeight="false" outlineLevel="0" collapsed="false">
      <c r="A20" s="15" t="s">
        <v>137</v>
      </c>
      <c r="B20" s="27" t="n">
        <f aca="false">B5*B19*B15</f>
        <v>3874.28571428571</v>
      </c>
      <c r="C20" s="27" t="n">
        <f aca="false">C5*C19*C15</f>
        <v>6457.14285714286</v>
      </c>
      <c r="D20" s="17" t="s">
        <v>138</v>
      </c>
    </row>
    <row r="21" customFormat="false" ht="15" hidden="false" customHeight="false" outlineLevel="0" collapsed="false">
      <c r="A21" s="15" t="s">
        <v>139</v>
      </c>
      <c r="B21" s="27" t="n">
        <f aca="false">B18*B11</f>
        <v>1305.59210526316</v>
      </c>
      <c r="C21" s="27" t="n">
        <f aca="false">C18*C11</f>
        <v>1305.59210526316</v>
      </c>
      <c r="D21" s="17" t="s">
        <v>140</v>
      </c>
    </row>
    <row r="22" customFormat="false" ht="15" hidden="false" customHeight="false" outlineLevel="0" collapsed="false">
      <c r="A22" s="15" t="s">
        <v>141</v>
      </c>
      <c r="B22" s="27" t="n">
        <f aca="false">B5*B18*B12</f>
        <v>44.4078947368421</v>
      </c>
      <c r="C22" s="27" t="n">
        <f aca="false">C5*C18*C12</f>
        <v>74.0131578947369</v>
      </c>
      <c r="D22" s="17" t="s">
        <v>142</v>
      </c>
    </row>
    <row r="23" customFormat="false" ht="15" hidden="false" customHeight="false" outlineLevel="0" collapsed="false">
      <c r="A23" s="15" t="s">
        <v>143</v>
      </c>
      <c r="B23" s="27" t="n">
        <f aca="false">B20+B21+B22</f>
        <v>5224.28571428572</v>
      </c>
      <c r="C23" s="27" t="n">
        <f aca="false">C20+C21+C22</f>
        <v>7836.74812030075</v>
      </c>
      <c r="D23" s="17" t="s">
        <v>144</v>
      </c>
    </row>
    <row r="24" customFormat="false" ht="15" hidden="false" customHeight="false" outlineLevel="0" collapsed="false">
      <c r="A24" s="15" t="s">
        <v>145</v>
      </c>
      <c r="B24" s="27" t="n">
        <f aca="false">B5*B18*B13</f>
        <v>0</v>
      </c>
      <c r="C24" s="27" t="n">
        <f aca="false">C5*C18*C13</f>
        <v>0</v>
      </c>
      <c r="D24" s="17" t="s">
        <v>146</v>
      </c>
    </row>
    <row r="25" customFormat="false" ht="15" hidden="false" customHeight="false" outlineLevel="0" collapsed="false">
      <c r="A25" s="28" t="s">
        <v>147</v>
      </c>
      <c r="B25" s="8" t="n">
        <f aca="false">B23-B24</f>
        <v>5224.28571428572</v>
      </c>
      <c r="C25" s="8" t="n">
        <f aca="false">C23-C24</f>
        <v>7836.74812030075</v>
      </c>
      <c r="D25" s="17" t="s">
        <v>148</v>
      </c>
    </row>
    <row r="26" customFormat="false" ht="15" hidden="false" customHeight="false" outlineLevel="0" collapsed="false">
      <c r="A26" s="28" t="s">
        <v>149</v>
      </c>
      <c r="B26" s="29" t="n">
        <f aca="false">CEILING(B25*(1+B14),500)</f>
        <v>6500</v>
      </c>
      <c r="C26" s="29" t="n">
        <f aca="false">CEILING(C25*(1+C14),500)</f>
        <v>9500</v>
      </c>
      <c r="D26" s="17" t="s">
        <v>150</v>
      </c>
    </row>
    <row r="28" customFormat="false" ht="15" hidden="false" customHeight="false" outlineLevel="0" collapsed="false">
      <c r="A28" s="17" t="s">
        <v>151</v>
      </c>
    </row>
    <row r="29" customFormat="false" ht="15" hidden="false" customHeight="false" outlineLevel="0" collapsed="false">
      <c r="A29" s="17" t="s">
        <v>152</v>
      </c>
    </row>
    <row r="30" customFormat="false" ht="15" hidden="false" customHeight="false" outlineLevel="0" collapsed="false">
      <c r="A30" s="17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34"/>
  </cols>
  <sheetData>
    <row r="1" customFormat="false" ht="16.15" hidden="false" customHeight="false" outlineLevel="0" collapsed="false">
      <c r="A1" s="14" t="s">
        <v>154</v>
      </c>
    </row>
    <row r="3" customFormat="false" ht="21.75" hidden="false" customHeight="true" outlineLevel="0" collapsed="false">
      <c r="A3" s="2"/>
      <c r="B3" s="2" t="s">
        <v>18</v>
      </c>
      <c r="C3" s="2" t="s">
        <v>19</v>
      </c>
      <c r="D3" s="2" t="s">
        <v>20</v>
      </c>
      <c r="E3" s="2" t="s">
        <v>21</v>
      </c>
    </row>
    <row r="4" customFormat="false" ht="33.75" hidden="false" customHeight="true" outlineLevel="0" collapsed="false">
      <c r="A4" s="30" t="s">
        <v>155</v>
      </c>
      <c r="B4" s="31" t="s">
        <v>156</v>
      </c>
      <c r="C4" s="31" t="s">
        <v>157</v>
      </c>
      <c r="D4" s="31" t="s">
        <v>158</v>
      </c>
      <c r="E4" s="31" t="s">
        <v>159</v>
      </c>
    </row>
    <row r="5" customFormat="false" ht="33.75" hidden="false" customHeight="true" outlineLevel="0" collapsed="false">
      <c r="A5" s="30" t="s">
        <v>160</v>
      </c>
      <c r="B5" s="31" t="s">
        <v>161</v>
      </c>
      <c r="C5" s="31" t="s">
        <v>162</v>
      </c>
      <c r="D5" s="31" t="s">
        <v>163</v>
      </c>
      <c r="E5" s="31" t="s">
        <v>164</v>
      </c>
    </row>
    <row r="6" customFormat="false" ht="33.75" hidden="false" customHeight="true" outlineLevel="0" collapsed="false">
      <c r="A6" s="30" t="s">
        <v>165</v>
      </c>
      <c r="B6" s="31" t="s">
        <v>166</v>
      </c>
      <c r="C6" s="31" t="s">
        <v>166</v>
      </c>
      <c r="D6" s="31" t="s">
        <v>166</v>
      </c>
      <c r="E6" s="31" t="s">
        <v>167</v>
      </c>
    </row>
    <row r="7" customFormat="false" ht="33.75" hidden="false" customHeight="true" outlineLevel="0" collapsed="false">
      <c r="A7" s="30" t="s">
        <v>168</v>
      </c>
      <c r="B7" s="31" t="s">
        <v>169</v>
      </c>
      <c r="C7" s="31" t="s">
        <v>169</v>
      </c>
      <c r="D7" s="31" t="s">
        <v>169</v>
      </c>
      <c r="E7" s="31" t="s">
        <v>169</v>
      </c>
    </row>
    <row r="8" customFormat="false" ht="33.75" hidden="false" customHeight="true" outlineLevel="0" collapsed="false">
      <c r="A8" s="30" t="s">
        <v>170</v>
      </c>
      <c r="B8" s="31" t="s">
        <v>171</v>
      </c>
      <c r="C8" s="31" t="s">
        <v>171</v>
      </c>
      <c r="D8" s="31" t="s">
        <v>171</v>
      </c>
      <c r="E8" s="31" t="s">
        <v>171</v>
      </c>
    </row>
    <row r="10" customFormat="false" ht="15" hidden="false" customHeight="false" outlineLevel="0" collapsed="false">
      <c r="A10" s="17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2026-10-19T21:57:21Z</dcterms:created>
  <dc:creator>openpyxl</dc:creator>
  <dc:description/>
  <dc:language>en-US</dc:language>
  <cp:lastModifiedBy/>
  <dcterms:modified xsi:type="dcterms:W3CDTF">2026-10-19T21:57:21Z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