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view" sheetId="2" state="visible" r:id="rId4"/>
    <sheet name="Summary" sheetId="3" state="visible" r:id="rId5"/>
  </sheets>
  <definedNames>
    <definedName function="false" hidden="true" localSheetId="1" name="_xlnm._FilterDatabase" vbProcedure="false">Review!$A$1:$L$105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Choose OK, Change or Question.</t>
        </r>
      </text>
    </comment>
    <comment ref="J1" authorId="0">
      <text>
        <r>
          <rPr>
            <sz val="10"/>
            <rFont val="Arial"/>
            <family val="2"/>
          </rPr>
          <t xml:space="preserve">Placeholder that must appear unchanged in any corrected text.</t>
        </r>
      </text>
    </comment>
  </commentList>
</comments>
</file>

<file path=xl/sharedStrings.xml><?xml version="1.0" encoding="utf-8"?>
<sst xmlns="http://schemas.openxmlformats.org/spreadsheetml/2006/main" count="592" uniqueCount="368">
  <si>
    <t xml:space="preserve">ConversaFlow — Arabic wording review</t>
  </si>
  <si>
    <t xml:space="preserve">Thank you for reviewing the Arabic text of the ConversaFlow web app. Each row on the "Review" sheet is one piece of text, grouped by screen.</t>
  </si>
  <si>
    <t xml:space="preserve">What to do</t>
  </si>
  <si>
    <t xml:space="preserve">1. Fill in your name and the date below.</t>
  </si>
  <si>
    <t xml:space="preserve">2. On the Review sheet, read the English (column E) and the current Arabic (column F). Screenshots of most screens are listed in column C.</t>
  </si>
  <si>
    <t xml:space="preserve">3. In column G choose OK, Change or Question.</t>
  </si>
  <si>
    <t xml:space="preserve">4. If you choose Change, write the corrected Arabic in column H. Keep any word in curly brackets, for example {name}, exactly as it is.</t>
  </si>
  <si>
    <t xml:space="preserve">5. Use column I for any comment or question (Arabic or English).</t>
  </si>
  <si>
    <t xml:space="preserve">6. Only the yellow cells are yours to edit. Please do not change the grey columns.</t>
  </si>
  <si>
    <t xml:space="preserve">7. The Summary sheet shows how many rows are left on each screen.</t>
  </si>
  <si>
    <t xml:space="preserve">Style guide</t>
  </si>
  <si>
    <t xml:space="preserve">• Modern Standard Arabic suitable for Gulf business users (Saudi Arabia and UAE).</t>
  </si>
  <si>
    <t xml:space="preserve">• Short and clear: many labels must fit on a phone screen.</t>
  </si>
  <si>
    <t xml:space="preserve">• Western digits (0–9), as used across the app.</t>
  </si>
  <si>
    <t xml:space="preserve">• The product name ConversaFlow and "by Meronatic" stay in Latin letters.</t>
  </si>
  <si>
    <t xml:space="preserve">• Address the user politely; avoid overly formal or literary phrasing.</t>
  </si>
  <si>
    <t xml:space="preserve">Example of a completed row (illustration only — not on the Review sheet)</t>
  </si>
  <si>
    <t xml:space="preserve">Screen</t>
  </si>
  <si>
    <t xml:space="preserve">English</t>
  </si>
  <si>
    <t xml:space="preserve">Arabic now</t>
  </si>
  <si>
    <t xml:space="preserve">Your verdict</t>
  </si>
  <si>
    <t xml:space="preserve">Corrected Arabic</t>
  </si>
  <si>
    <t xml:space="preserve">Comment</t>
  </si>
  <si>
    <t xml:space="preserve">Sign-in</t>
  </si>
  <si>
    <t xml:space="preserve">Forgot password?</t>
  </si>
  <si>
    <t xml:space="preserve">نسيت كلمة المرور؟</t>
  </si>
  <si>
    <t xml:space="preserve">Change</t>
  </si>
  <si>
    <t xml:space="preserve">هل نسيت كلمة المرور؟</t>
  </si>
  <si>
    <t xml:space="preserve">More natural as a question in Gulf usage</t>
  </si>
  <si>
    <t xml:space="preserve">Reviewer name</t>
  </si>
  <si>
    <t xml:space="preserve">Review date</t>
  </si>
  <si>
    <t xml:space="preserve">Reviewer role / company</t>
  </si>
  <si>
    <t xml:space="preserve">Legend: yellow = for the reviewer to fill in; grey = source text, do not edit.</t>
  </si>
  <si>
    <t xml:space="preserve">#</t>
  </si>
  <si>
    <t xml:space="preserve">Screenshots (Arabic)</t>
  </si>
  <si>
    <t xml:space="preserve">Key</t>
  </si>
  <si>
    <t xml:space="preserve">English (source)</t>
  </si>
  <si>
    <t xml:space="preserve">Comment / question</t>
  </si>
  <si>
    <t xml:space="preserve">Must keep</t>
  </si>
  <si>
    <t xml:space="preserve">Check</t>
  </si>
  <si>
    <t xml:space="preserve">Developer: applied</t>
  </si>
  <si>
    <t xml:space="preserve">docs/reports/evidence/ui/ar-mobile-sign-in.png
docs/reports/evidence/ui/ar-desktop-sign-in.png</t>
  </si>
  <si>
    <t xml:space="preserve">brand.tagline</t>
  </si>
  <si>
    <t xml:space="preserve">One Platform. Every Conversation. Every Customer.</t>
  </si>
  <si>
    <t xml:space="preserve">منصة واحدة. كل محادثة. كل عميل.</t>
  </si>
  <si>
    <t xml:space="preserve">features.ai</t>
  </si>
  <si>
    <t xml:space="preserve">Ready for AI automation</t>
  </si>
  <si>
    <t xml:space="preserve">جاهزة لأتمتة الذكاء الاصطناعي</t>
  </si>
  <si>
    <t xml:space="preserve">features.gulf</t>
  </si>
  <si>
    <t xml:space="preserve">Built for the Gulf and beyond</t>
  </si>
  <si>
    <t xml:space="preserve">مصممة للخليج والعالم</t>
  </si>
  <si>
    <t xml:space="preserve">features.secure</t>
  </si>
  <si>
    <t xml:space="preserve">Secure and reliable</t>
  </si>
  <si>
    <t xml:space="preserve">آمنة وموثوقة</t>
  </si>
  <si>
    <t xml:space="preserve">features.separate</t>
  </si>
  <si>
    <t xml:space="preserve">Each company fully separated</t>
  </si>
  <si>
    <t xml:space="preserve">فصل تام لبيانات كل شركة</t>
  </si>
  <si>
    <t xml:space="preserve">lang.switchLabel</t>
  </si>
  <si>
    <t xml:space="preserve">Switch to Arabic</t>
  </si>
  <si>
    <t xml:space="preserve">التبديل إلى الإنجليزية</t>
  </si>
  <si>
    <t xml:space="preserve">lang.switchTo</t>
  </si>
  <si>
    <t xml:space="preserve">العربية</t>
  </si>
  <si>
    <t xml:space="preserve">Button that switches to the OTHER language, so in Arabic it correctly reads "English".</t>
  </si>
  <si>
    <t xml:space="preserve">signIn.badCode</t>
  </si>
  <si>
    <t xml:space="preserve">That code is not correct. Please try again.</t>
  </si>
  <si>
    <t xml:space="preserve">الرمز غير صحيح. يُرجى المحاولة مرة أخرى.</t>
  </si>
  <si>
    <t xml:space="preserve">signIn.code</t>
  </si>
  <si>
    <t xml:space="preserve">Verification code</t>
  </si>
  <si>
    <t xml:space="preserve">رمز التحقق</t>
  </si>
  <si>
    <t xml:space="preserve">signIn.create</t>
  </si>
  <si>
    <t xml:space="preserve">Create one</t>
  </si>
  <si>
    <t xml:space="preserve">أنشئ حسابًا</t>
  </si>
  <si>
    <t xml:space="preserve">signIn.email</t>
  </si>
  <si>
    <t xml:space="preserve">Email address</t>
  </si>
  <si>
    <t xml:space="preserve">البريد الإلكتروني</t>
  </si>
  <si>
    <t xml:space="preserve">signIn.forgot</t>
  </si>
  <si>
    <t xml:space="preserve">signIn.invalid</t>
  </si>
  <si>
    <t xml:space="preserve">Email or password is incorrect.</t>
  </si>
  <si>
    <t xml:space="preserve">البريد الإلكتروني أو كلمة المرور غير صحيحة.</t>
  </si>
  <si>
    <t xml:space="preserve">signIn.mfaHelp</t>
  </si>
  <si>
    <t xml:space="preserve">Enter the 6-digit code from your authenticator app.</t>
  </si>
  <si>
    <t xml:space="preserve">أدخل الرمز المكوّن من 6 أرقام من تطبيق المصادقة.</t>
  </si>
  <si>
    <t xml:space="preserve">signIn.mfaTitle</t>
  </si>
  <si>
    <t xml:space="preserve">Two-step verification</t>
  </si>
  <si>
    <t xml:space="preserve">التحقق بخطوتين</t>
  </si>
  <si>
    <t xml:space="preserve">signIn.noAccount</t>
  </si>
  <si>
    <t xml:space="preserve">Don't have an account?</t>
  </si>
  <si>
    <t xml:space="preserve">ليس لديك حساب؟</t>
  </si>
  <si>
    <t xml:space="preserve">signIn.password</t>
  </si>
  <si>
    <t xml:space="preserve">Password</t>
  </si>
  <si>
    <t xml:space="preserve">كلمة المرور</t>
  </si>
  <si>
    <t xml:space="preserve">signIn.submit</t>
  </si>
  <si>
    <t xml:space="preserve">Sign in</t>
  </si>
  <si>
    <t xml:space="preserve">تسجيل الدخول</t>
  </si>
  <si>
    <t xml:space="preserve">signIn.subtitle</t>
  </si>
  <si>
    <t xml:space="preserve">Your customer conversations, team and automations in one place.</t>
  </si>
  <si>
    <t xml:space="preserve">محادثات عملائك وفريقك وعمليات الأتمتة في مكان واحد.</t>
  </si>
  <si>
    <t xml:space="preserve">signIn.title</t>
  </si>
  <si>
    <t xml:space="preserve">Sign in to ConversaFlow</t>
  </si>
  <si>
    <t xml:space="preserve">تسجيل الدخول إلى ConversaFlow</t>
  </si>
  <si>
    <t xml:space="preserve">signIn.tooMany</t>
  </si>
  <si>
    <t xml:space="preserve">Too many attempts. Please wait a few minutes and try again.</t>
  </si>
  <si>
    <t xml:space="preserve">محاولات كثيرة. يُرجى الانتظار بضع دقائق ثم المحاولة مرة أخرى.</t>
  </si>
  <si>
    <t xml:space="preserve">signIn.unverified</t>
  </si>
  <si>
    <t xml:space="preserve">Please verify your email address first.</t>
  </si>
  <si>
    <t xml:space="preserve">يُرجى تأكيد بريدك الإلكتروني أولًا.</t>
  </si>
  <si>
    <t xml:space="preserve">signIn.verify</t>
  </si>
  <si>
    <t xml:space="preserve">Verify</t>
  </si>
  <si>
    <t xml:space="preserve">تحقّق</t>
  </si>
  <si>
    <t xml:space="preserve">Sign-up</t>
  </si>
  <si>
    <t xml:space="preserve">No screenshot yet — open the page in Arabic on staging</t>
  </si>
  <si>
    <t xml:space="preserve">signUp.checkFields</t>
  </si>
  <si>
    <t xml:space="preserve">Please check the details. Passwords need at least 12 characters and cannot be a common password.</t>
  </si>
  <si>
    <t xml:space="preserve">يُرجى مراجعة البيانات. يجب ألا تقل كلمة المرور عن 12 حرفًا وألا تكون كلمة مرور شائعة.</t>
  </si>
  <si>
    <t xml:space="preserve">signUp.fullName</t>
  </si>
  <si>
    <t xml:space="preserve">Full name</t>
  </si>
  <si>
    <t xml:space="preserve">الاسم الكامل</t>
  </si>
  <si>
    <t xml:space="preserve">signUp.have</t>
  </si>
  <si>
    <t xml:space="preserve">Already have an account?</t>
  </si>
  <si>
    <t xml:space="preserve">لديك حساب بالفعل؟</t>
  </si>
  <si>
    <t xml:space="preserve">signUp.passwordHint</t>
  </si>
  <si>
    <t xml:space="preserve">At least 12 characters.</t>
  </si>
  <si>
    <t xml:space="preserve">12 حرفًا على الأقل.</t>
  </si>
  <si>
    <t xml:space="preserve">signUp.sent</t>
  </si>
  <si>
    <t xml:space="preserve">Check your email for a link to verify your address.</t>
  </si>
  <si>
    <t xml:space="preserve">تحقّق من بريدك الإلكتروني للعثور على رابط تأكيد العنوان.</t>
  </si>
  <si>
    <t xml:space="preserve">signUp.signIn</t>
  </si>
  <si>
    <t xml:space="preserve">سجّل الدخول</t>
  </si>
  <si>
    <t xml:space="preserve">signUp.submit</t>
  </si>
  <si>
    <t xml:space="preserve">Create account</t>
  </si>
  <si>
    <t xml:space="preserve">إنشاء الحساب</t>
  </si>
  <si>
    <t xml:space="preserve">signUp.subtitle</t>
  </si>
  <si>
    <t xml:space="preserve">Start a 14-day trial. No card needed.</t>
  </si>
  <si>
    <t xml:space="preserve">ابدأ تجربة مجانية لمدة 14 يومًا دون الحاجة إلى بطاقة.</t>
  </si>
  <si>
    <t xml:space="preserve">signUp.title</t>
  </si>
  <si>
    <t xml:space="preserve">Create your account</t>
  </si>
  <si>
    <t xml:space="preserve">إنشاء حسابك</t>
  </si>
  <si>
    <t xml:space="preserve">Forgot password</t>
  </si>
  <si>
    <t xml:space="preserve">forgot.sent</t>
  </si>
  <si>
    <t xml:space="preserve">If an account exists for this email, we have sent a link to reset the password.</t>
  </si>
  <si>
    <t xml:space="preserve">إذا كان هناك حساب مرتبط بهذا البريد، فقد أرسلنا رابطًا لإعادة تعيين كلمة المرور.</t>
  </si>
  <si>
    <t xml:space="preserve">forgot.submit</t>
  </si>
  <si>
    <t xml:space="preserve">Send reset link</t>
  </si>
  <si>
    <t xml:space="preserve">إرسال رابط إعادة التعيين</t>
  </si>
  <si>
    <t xml:space="preserve">forgot.title</t>
  </si>
  <si>
    <t xml:space="preserve">Reset your password</t>
  </si>
  <si>
    <t xml:space="preserve">إعادة تعيين كلمة المرور</t>
  </si>
  <si>
    <t xml:space="preserve">Verify email</t>
  </si>
  <si>
    <t xml:space="preserve">verify.done</t>
  </si>
  <si>
    <t xml:space="preserve">Your email is verified. You can sign in now.</t>
  </si>
  <si>
    <t xml:space="preserve">تم تأكيد بريدك الإلكتروني. يمكنك تسجيل الدخول الآن.</t>
  </si>
  <si>
    <t xml:space="preserve">verify.failed</t>
  </si>
  <si>
    <t xml:space="preserve">This link is invalid or has expired. Please sign up again or request a new link.</t>
  </si>
  <si>
    <t xml:space="preserve">هذا الرابط غير صالح أو منتهي الصلاحية. يُرجى التسجيل مجددًا أو طلب رابط جديد.</t>
  </si>
  <si>
    <t xml:space="preserve">verify.title</t>
  </si>
  <si>
    <t xml:space="preserve">Verifying your email</t>
  </si>
  <si>
    <t xml:space="preserve">جارٍ تأكيد بريدك الإلكتروني</t>
  </si>
  <si>
    <t xml:space="preserve">Reset password</t>
  </si>
  <si>
    <t xml:space="preserve">reset.done</t>
  </si>
  <si>
    <t xml:space="preserve">Your password has been changed. Please sign in.</t>
  </si>
  <si>
    <t xml:space="preserve">تم تغيير كلمة المرور. يُرجى تسجيل الدخول.</t>
  </si>
  <si>
    <t xml:space="preserve">reset.failed</t>
  </si>
  <si>
    <t xml:space="preserve">This link is invalid or has expired. Please request a new one.</t>
  </si>
  <si>
    <t xml:space="preserve">هذا الرابط غير صالح أو منتهي الصلاحية. يُرجى طلب رابط جديد.</t>
  </si>
  <si>
    <t xml:space="preserve">reset.newPassword</t>
  </si>
  <si>
    <t xml:space="preserve">New password</t>
  </si>
  <si>
    <t xml:space="preserve">كلمة المرور الجديدة</t>
  </si>
  <si>
    <t xml:space="preserve">reset.submit</t>
  </si>
  <si>
    <t xml:space="preserve">Save new password</t>
  </si>
  <si>
    <t xml:space="preserve">حفظ كلمة المرور الجديدة</t>
  </si>
  <si>
    <t xml:space="preserve">reset.title</t>
  </si>
  <si>
    <t xml:space="preserve">Choose a new password</t>
  </si>
  <si>
    <t xml:space="preserve">اختر كلمة مرور جديدة</t>
  </si>
  <si>
    <t xml:space="preserve">Page not found</t>
  </si>
  <si>
    <t xml:space="preserve">notFound.body</t>
  </si>
  <si>
    <t xml:space="preserve">The page you are looking for does not exist or has moved.</t>
  </si>
  <si>
    <t xml:space="preserve">الصفحة التي تبحث عنها غير موجودة أو تم نقلها.</t>
  </si>
  <si>
    <t xml:space="preserve">notFound.home</t>
  </si>
  <si>
    <t xml:space="preserve">Go to sign-in</t>
  </si>
  <si>
    <t xml:space="preserve">الانتقال إلى تسجيل الدخول</t>
  </si>
  <si>
    <t xml:space="preserve">notFound.title</t>
  </si>
  <si>
    <t xml:space="preserve">الصفحة غير موجودة</t>
  </si>
  <si>
    <t xml:space="preserve">All app screens</t>
  </si>
  <si>
    <t xml:space="preserve">docs/reports/evidence/ui/ar-mobile-dashboard.png
docs/reports/evidence/ui/ar-desktop-dashboard.png</t>
  </si>
  <si>
    <t xml:space="preserve">brand.by</t>
  </si>
  <si>
    <t xml:space="preserve">by Meronatic</t>
  </si>
  <si>
    <t xml:space="preserve">Kept in Latin script on purpose (brand lockup). Check only; no translation expected.</t>
  </si>
  <si>
    <t xml:space="preserve">common.error</t>
  </si>
  <si>
    <t xml:space="preserve">Something went wrong. Please try again.</t>
  </si>
  <si>
    <t xml:space="preserve">حدث خطأ ما. يُرجى المحاولة مرة أخرى.</t>
  </si>
  <si>
    <t xml:space="preserve">common.later</t>
  </si>
  <si>
    <t xml:space="preserve">Coming in a later phase</t>
  </si>
  <si>
    <t xml:space="preserve">متاح في مرحلة لاحقة</t>
  </si>
  <si>
    <t xml:space="preserve">Short badge next to menu items not yet available. Must stay short (fits beside the menu text).</t>
  </si>
  <si>
    <t xml:space="preserve">common.loading</t>
  </si>
  <si>
    <t xml:space="preserve">Loading…</t>
  </si>
  <si>
    <t xml:space="preserve">جارٍ التحميل…</t>
  </si>
  <si>
    <t xml:space="preserve">common.save</t>
  </si>
  <si>
    <t xml:space="preserve">Save changes</t>
  </si>
  <si>
    <t xml:space="preserve">حفظ التغييرات</t>
  </si>
  <si>
    <t xml:space="preserve">common.saved</t>
  </si>
  <si>
    <t xml:space="preserve">Changes saved</t>
  </si>
  <si>
    <t xml:space="preserve">تم حفظ التغييرات</t>
  </si>
  <si>
    <t xml:space="preserve">common.signOut</t>
  </si>
  <si>
    <t xml:space="preserve">Sign out</t>
  </si>
  <si>
    <t xml:space="preserve">تسجيل الخروج</t>
  </si>
  <si>
    <t xml:space="preserve">nav.automations</t>
  </si>
  <si>
    <t xml:space="preserve">Automations</t>
  </si>
  <si>
    <t xml:space="preserve">الأتمتة</t>
  </si>
  <si>
    <t xml:space="preserve">nav.campaigns</t>
  </si>
  <si>
    <t xml:space="preserve">Campaigns</t>
  </si>
  <si>
    <t xml:space="preserve">الحملات</t>
  </si>
  <si>
    <t xml:space="preserve">nav.company</t>
  </si>
  <si>
    <t xml:space="preserve">Company</t>
  </si>
  <si>
    <t xml:space="preserve">الشركة</t>
  </si>
  <si>
    <t xml:space="preserve">nav.contacts</t>
  </si>
  <si>
    <t xml:space="preserve">Contacts</t>
  </si>
  <si>
    <t xml:space="preserve">جهات الاتصال</t>
  </si>
  <si>
    <t xml:space="preserve">nav.dashboard</t>
  </si>
  <si>
    <t xml:space="preserve">Dashboard</t>
  </si>
  <si>
    <t xml:space="preserve">لوحة التحكم</t>
  </si>
  <si>
    <t xml:space="preserve">nav.inbox</t>
  </si>
  <si>
    <t xml:space="preserve">Inbox</t>
  </si>
  <si>
    <t xml:space="preserve">صندوق الوارد</t>
  </si>
  <si>
    <t xml:space="preserve">nav.main</t>
  </si>
  <si>
    <t xml:space="preserve">Main navigation</t>
  </si>
  <si>
    <t xml:space="preserve">التنقل الرئيسي</t>
  </si>
  <si>
    <t xml:space="preserve">nav.menu</t>
  </si>
  <si>
    <t xml:space="preserve">Menu</t>
  </si>
  <si>
    <t xml:space="preserve">القائمة</t>
  </si>
  <si>
    <t xml:space="preserve">nav.reports</t>
  </si>
  <si>
    <t xml:space="preserve">Reports</t>
  </si>
  <si>
    <t xml:space="preserve">التقارير</t>
  </si>
  <si>
    <t xml:space="preserve">nav.settings</t>
  </si>
  <si>
    <t xml:space="preserve">Settings</t>
  </si>
  <si>
    <t xml:space="preserve">الإعدادات</t>
  </si>
  <si>
    <t xml:space="preserve">nav.team</t>
  </si>
  <si>
    <t xml:space="preserve">Team and roles</t>
  </si>
  <si>
    <t xml:space="preserve">الفريق والأدوار</t>
  </si>
  <si>
    <t xml:space="preserve">dashboard.next</t>
  </si>
  <si>
    <t xml:space="preserve">Next steps</t>
  </si>
  <si>
    <t xml:space="preserve">الخطوات التالية</t>
  </si>
  <si>
    <t xml:space="preserve">dashboard.plan</t>
  </si>
  <si>
    <t xml:space="preserve">Plan</t>
  </si>
  <si>
    <t xml:space="preserve">الباقة</t>
  </si>
  <si>
    <t xml:space="preserve">dashboard.runs</t>
  </si>
  <si>
    <t xml:space="preserve">Automation runs this month</t>
  </si>
  <si>
    <t xml:space="preserve">عمليات الأتمتة هذا الشهر</t>
  </si>
  <si>
    <t xml:space="preserve">dashboard.seats</t>
  </si>
  <si>
    <t xml:space="preserve">Seats used</t>
  </si>
  <si>
    <t xml:space="preserve">المقاعد المستخدمة</t>
  </si>
  <si>
    <t xml:space="preserve">dashboard.step1</t>
  </si>
  <si>
    <t xml:space="preserve">Invite your team</t>
  </si>
  <si>
    <t xml:space="preserve">ادعُ فريقك</t>
  </si>
  <si>
    <t xml:space="preserve">dashboard.step2</t>
  </si>
  <si>
    <t xml:space="preserve">Set your business hours</t>
  </si>
  <si>
    <t xml:space="preserve">حدّد ساعات العمل</t>
  </si>
  <si>
    <t xml:space="preserve">dashboard.step3</t>
  </si>
  <si>
    <t xml:space="preserve">Connect WhatsApp (Phase 2)</t>
  </si>
  <si>
    <t xml:space="preserve">اربط واتساب (المرحلة الثانية)</t>
  </si>
  <si>
    <t xml:space="preserve">dashboard.trial</t>
  </si>
  <si>
    <t xml:space="preserve">Trial ends on {date}</t>
  </si>
  <si>
    <t xml:space="preserve">تنتهي الفترة التجريبية في {date}</t>
  </si>
  <si>
    <t xml:space="preserve">{date} is replaced by a date such as 2 نوفمبر 2026.</t>
  </si>
  <si>
    <t xml:space="preserve">{date}</t>
  </si>
  <si>
    <t xml:space="preserve">dashboard.welcome</t>
  </si>
  <si>
    <t xml:space="preserve">Welcome, {name}</t>
  </si>
  <si>
    <t xml:space="preserve">مرحبًا، {name}</t>
  </si>
  <si>
    <t xml:space="preserve">{name} is replaced by the person's name.</t>
  </si>
  <si>
    <t xml:space="preserve">{name}</t>
  </si>
  <si>
    <t xml:space="preserve">Company settings</t>
  </si>
  <si>
    <t xml:space="preserve">docs/reports/evidence/ui/ar-mobile-company-settings.png
docs/reports/evidence/ui/ar-desktop-company-settings.png</t>
  </si>
  <si>
    <t xml:space="preserve">company.close</t>
  </si>
  <si>
    <t xml:space="preserve">Closes</t>
  </si>
  <si>
    <t xml:space="preserve">يغلق</t>
  </si>
  <si>
    <t xml:space="preserve">company.closed</t>
  </si>
  <si>
    <t xml:space="preserve">Closed</t>
  </si>
  <si>
    <t xml:space="preserve">مغلق</t>
  </si>
  <si>
    <t xml:space="preserve">company.first</t>
  </si>
  <si>
    <t xml:space="preserve">First reply within (minutes)</t>
  </si>
  <si>
    <t xml:space="preserve">أول رد خلال (بالدقائق)</t>
  </si>
  <si>
    <t xml:space="preserve">company.holidays</t>
  </si>
  <si>
    <t xml:space="preserve">Public holidays</t>
  </si>
  <si>
    <t xml:space="preserve">العطلات الرسمية</t>
  </si>
  <si>
    <t xml:space="preserve">company.hours</t>
  </si>
  <si>
    <t xml:space="preserve">Business hours</t>
  </si>
  <si>
    <t xml:space="preserve">ساعات العمل</t>
  </si>
  <si>
    <t xml:space="preserve">company.languages</t>
  </si>
  <si>
    <t xml:space="preserve">Languages your customers use</t>
  </si>
  <si>
    <t xml:space="preserve">اللغات التي يستخدمها عملاؤك</t>
  </si>
  <si>
    <t xml:space="preserve">company.noHolidays</t>
  </si>
  <si>
    <t xml:space="preserve">No holidays added yet.</t>
  </si>
  <si>
    <t xml:space="preserve">لم تُضف أي عطلات بعد.</t>
  </si>
  <si>
    <t xml:space="preserve">company.open</t>
  </si>
  <si>
    <t xml:space="preserve">Opens</t>
  </si>
  <si>
    <t xml:space="preserve">يفتح</t>
  </si>
  <si>
    <t xml:space="preserve">company.resolve</t>
  </si>
  <si>
    <t xml:space="preserve">Resolve within (minutes)</t>
  </si>
  <si>
    <t xml:space="preserve">الحل خلال (بالدقائق)</t>
  </si>
  <si>
    <t xml:space="preserve">company.sla</t>
  </si>
  <si>
    <t xml:space="preserve">Response targets</t>
  </si>
  <si>
    <t xml:space="preserve">أهداف الاستجابة</t>
  </si>
  <si>
    <t xml:space="preserve">company.title</t>
  </si>
  <si>
    <t xml:space="preserve">إعدادات الشركة</t>
  </si>
  <si>
    <t xml:space="preserve">days.fri</t>
  </si>
  <si>
    <t xml:space="preserve">Friday</t>
  </si>
  <si>
    <t xml:space="preserve">الجمعة</t>
  </si>
  <si>
    <t xml:space="preserve">days.mon</t>
  </si>
  <si>
    <t xml:space="preserve">Monday</t>
  </si>
  <si>
    <t xml:space="preserve">الاثنين</t>
  </si>
  <si>
    <t xml:space="preserve">days.sat</t>
  </si>
  <si>
    <t xml:space="preserve">Saturday</t>
  </si>
  <si>
    <t xml:space="preserve">السبت</t>
  </si>
  <si>
    <t xml:space="preserve">days.sun</t>
  </si>
  <si>
    <t xml:space="preserve">Sunday</t>
  </si>
  <si>
    <t xml:space="preserve">الأحد</t>
  </si>
  <si>
    <t xml:space="preserve">days.thu</t>
  </si>
  <si>
    <t xml:space="preserve">Thursday</t>
  </si>
  <si>
    <t xml:space="preserve">الخميس</t>
  </si>
  <si>
    <t xml:space="preserve">days.tue</t>
  </si>
  <si>
    <t xml:space="preserve">Tuesday</t>
  </si>
  <si>
    <t xml:space="preserve">الثلاثاء</t>
  </si>
  <si>
    <t xml:space="preserve">days.wed</t>
  </si>
  <si>
    <t xml:space="preserve">Wednesday</t>
  </si>
  <si>
    <t xml:space="preserve">الأربعاء</t>
  </si>
  <si>
    <t xml:space="preserve">languageNames.ar</t>
  </si>
  <si>
    <t xml:space="preserve">Arabic</t>
  </si>
  <si>
    <t xml:space="preserve">languageNames.en</t>
  </si>
  <si>
    <t xml:space="preserve">الإنجليزية</t>
  </si>
  <si>
    <t xml:space="preserve">docs/reports/evidence/ui/ar-mobile-team.png
docs/reports/evidence/ui/ar-desktop-team.png</t>
  </si>
  <si>
    <t xml:space="preserve">roles.admin</t>
  </si>
  <si>
    <t xml:space="preserve">Admin</t>
  </si>
  <si>
    <t xml:space="preserve">مسؤول</t>
  </si>
  <si>
    <t xml:space="preserve">roles.agent</t>
  </si>
  <si>
    <t xml:space="preserve">Agent</t>
  </si>
  <si>
    <t xml:space="preserve">موظف خدمة العملاء</t>
  </si>
  <si>
    <t xml:space="preserve">Role name for front-line staff who reply to customers.</t>
  </si>
  <si>
    <t xml:space="preserve">roles.analyst</t>
  </si>
  <si>
    <t xml:space="preserve">Analyst</t>
  </si>
  <si>
    <t xml:space="preserve">محلل</t>
  </si>
  <si>
    <t xml:space="preserve">roles.owner</t>
  </si>
  <si>
    <t xml:space="preserve">Owner</t>
  </si>
  <si>
    <t xml:space="preserve">المالك</t>
  </si>
  <si>
    <t xml:space="preserve">roles.supervisor</t>
  </si>
  <si>
    <t xml:space="preserve">Supervisor</t>
  </si>
  <si>
    <t xml:space="preserve">مشرف</t>
  </si>
  <si>
    <t xml:space="preserve">team.active</t>
  </si>
  <si>
    <t xml:space="preserve">Active</t>
  </si>
  <si>
    <t xml:space="preserve">نشط</t>
  </si>
  <si>
    <t xml:space="preserve">team.email</t>
  </si>
  <si>
    <t xml:space="preserve">Email</t>
  </si>
  <si>
    <t xml:space="preserve">team.name</t>
  </si>
  <si>
    <t xml:space="preserve">Name</t>
  </si>
  <si>
    <t xml:space="preserve">الاسم</t>
  </si>
  <si>
    <t xml:space="preserve">team.role</t>
  </si>
  <si>
    <t xml:space="preserve">Role</t>
  </si>
  <si>
    <t xml:space="preserve">الدور</t>
  </si>
  <si>
    <t xml:space="preserve">team.status</t>
  </si>
  <si>
    <t xml:space="preserve">Status</t>
  </si>
  <si>
    <t xml:space="preserve">الحالة</t>
  </si>
  <si>
    <t xml:space="preserve">team.title</t>
  </si>
  <si>
    <t xml:space="preserve">Rows</t>
  </si>
  <si>
    <t xml:space="preserve">Reviewed</t>
  </si>
  <si>
    <t xml:space="preserve">OK</t>
  </si>
  <si>
    <t xml:space="preserve">Question</t>
  </si>
  <si>
    <t xml:space="preserve">Left to review</t>
  </si>
  <si>
    <t xml:space="preserve">Changes applied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</si>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</sst>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475569"/>
      <name val="Arial"/>
      <family val="0"/>
      <charset val="1"/>
    </font>
    <font>
      <sz val="11"/>
      <color rgb="FF0F172A"/>
      <name val="Arial"/>
      <family val="0"/>
      <charset val="1"/>
    </font>
    <font>
      <sz val="10"/>
      <color rgb="FF475569"/>
      <name val="Arial"/>
      <family val="0"/>
      <charset val="1"/>
    </font>
    <font>
      <sz val="10"/>
      <color rgb="FFB91C1C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E749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E7490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>
          <bgColor rgb="FFFEF3C7"/>
        </patternFill>
      </fill>
    </dxf>
    <dxf>
      <fill>
        <patternFill>
          <bgColor rgb="FFDBEA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26"/>
  </cols>
  <sheetData>
    <row r="1" customFormat="false" ht="35.8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15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1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15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15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15" hidden="false" customHeight="true" outlineLevel="0" collapsed="false">
      <c r="A10" s="2" t="s">
        <v>8</v>
      </c>
      <c r="B10" s="2"/>
      <c r="C10" s="2"/>
      <c r="D10" s="2"/>
      <c r="E10" s="2"/>
      <c r="F10" s="2"/>
    </row>
    <row r="11" customFormat="false" ht="15" hidden="false" customHeight="true" outlineLevel="0" collapsed="false">
      <c r="A11" s="2" t="s">
        <v>9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true" outlineLevel="0" collapsed="false">
      <c r="A13" s="3" t="s">
        <v>10</v>
      </c>
      <c r="B13" s="3"/>
      <c r="C13" s="3"/>
      <c r="D13" s="3"/>
      <c r="E13" s="3"/>
      <c r="F13" s="3"/>
    </row>
    <row r="14" customFormat="false" ht="15" hidden="false" customHeight="true" outlineLevel="0" collapsed="false">
      <c r="A14" s="2" t="s">
        <v>11</v>
      </c>
      <c r="B14" s="2"/>
      <c r="C14" s="2"/>
      <c r="D14" s="2"/>
      <c r="E14" s="2"/>
      <c r="F14" s="2"/>
    </row>
    <row r="15" customFormat="false" ht="15" hidden="false" customHeight="true" outlineLevel="0" collapsed="false">
      <c r="A15" s="2" t="s">
        <v>12</v>
      </c>
      <c r="B15" s="2"/>
      <c r="C15" s="2"/>
      <c r="D15" s="2"/>
      <c r="E15" s="2"/>
      <c r="F15" s="2"/>
    </row>
    <row r="16" customFormat="false" ht="15" hidden="false" customHeight="true" outlineLevel="0" collapsed="false">
      <c r="A16" s="2" t="s">
        <v>13</v>
      </c>
      <c r="B16" s="2"/>
      <c r="C16" s="2"/>
      <c r="D16" s="2"/>
      <c r="E16" s="2"/>
      <c r="F16" s="2"/>
    </row>
    <row r="17" customFormat="false" ht="15" hidden="false" customHeight="true" outlineLevel="0" collapsed="false">
      <c r="A17" s="2" t="s">
        <v>14</v>
      </c>
      <c r="B17" s="2"/>
      <c r="C17" s="2"/>
      <c r="D17" s="2"/>
      <c r="E17" s="2"/>
      <c r="F17" s="2"/>
    </row>
    <row r="18" customFormat="false" ht="15" hidden="false" customHeight="true" outlineLevel="0" collapsed="false">
      <c r="A18" s="2" t="s">
        <v>15</v>
      </c>
      <c r="B18" s="2"/>
      <c r="C18" s="2"/>
      <c r="D18" s="2"/>
      <c r="E18" s="2"/>
      <c r="F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  <row r="20" customFormat="false" ht="15" hidden="false" customHeight="true" outlineLevel="0" collapsed="false">
      <c r="A20" s="3" t="s">
        <v>16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4" t="s">
        <v>17</v>
      </c>
      <c r="B21" s="4" t="s">
        <v>18</v>
      </c>
      <c r="C21" s="4" t="s">
        <v>19</v>
      </c>
      <c r="D21" s="4" t="s">
        <v>20</v>
      </c>
      <c r="E21" s="4" t="s">
        <v>21</v>
      </c>
      <c r="F21" s="4" t="s">
        <v>22</v>
      </c>
    </row>
    <row r="22" customFormat="false" ht="26.85" hidden="false" customHeight="false" outlineLevel="0" collapsed="false">
      <c r="A22" s="5" t="s">
        <v>23</v>
      </c>
      <c r="B22" s="5" t="s">
        <v>24</v>
      </c>
      <c r="C22" s="6" t="s">
        <v>25</v>
      </c>
      <c r="D22" s="7" t="s">
        <v>26</v>
      </c>
      <c r="E22" s="8" t="s">
        <v>27</v>
      </c>
      <c r="F22" s="7" t="s">
        <v>28</v>
      </c>
    </row>
    <row r="24" customFormat="false" ht="15" hidden="false" customHeight="false" outlineLevel="0" collapsed="false">
      <c r="A24" s="9" t="s">
        <v>29</v>
      </c>
      <c r="B24" s="10"/>
    </row>
    <row r="25" customFormat="false" ht="15" hidden="false" customHeight="false" outlineLevel="0" collapsed="false">
      <c r="A25" s="9" t="s">
        <v>30</v>
      </c>
      <c r="B25" s="10"/>
    </row>
    <row r="26" customFormat="false" ht="15" hidden="false" customHeight="false" outlineLevel="0" collapsed="false">
      <c r="A26" s="9" t="s">
        <v>31</v>
      </c>
      <c r="B26" s="10"/>
    </row>
    <row r="28" customFormat="false" ht="15" hidden="false" customHeight="false" outlineLevel="0" collapsed="false">
      <c r="A28" s="11" t="s">
        <v>32</v>
      </c>
    </row>
  </sheetData>
  <mergeCells count="19"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6" min="5" style="0" width="36"/>
    <col collapsed="false" customWidth="true" hidden="false" outlineLevel="0" max="7" min="7" style="0" width="14"/>
    <col collapsed="false" customWidth="true" hidden="false" outlineLevel="0" max="8" min="8" style="0" width="36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4"/>
  </cols>
  <sheetData>
    <row r="1" customFormat="false" ht="26.85" hidden="false" customHeight="false" outlineLevel="0" collapsed="false">
      <c r="A1" s="12" t="s">
        <v>33</v>
      </c>
      <c r="B1" s="12" t="s">
        <v>17</v>
      </c>
      <c r="C1" s="12" t="s">
        <v>34</v>
      </c>
      <c r="D1" s="12" t="s">
        <v>35</v>
      </c>
      <c r="E1" s="12" t="s">
        <v>36</v>
      </c>
      <c r="F1" s="12" t="s">
        <v>19</v>
      </c>
      <c r="G1" s="12" t="s">
        <v>20</v>
      </c>
      <c r="H1" s="12" t="s">
        <v>21</v>
      </c>
      <c r="I1" s="12" t="s">
        <v>37</v>
      </c>
      <c r="J1" s="12" t="s">
        <v>38</v>
      </c>
      <c r="K1" s="12" t="s">
        <v>39</v>
      </c>
      <c r="L1" s="12" t="s">
        <v>40</v>
      </c>
    </row>
    <row r="2" customFormat="false" ht="46.25" hidden="false" customHeight="false" outlineLevel="0" collapsed="false">
      <c r="A2" s="13" t="n">
        <v>1</v>
      </c>
      <c r="B2" s="13" t="s">
        <v>23</v>
      </c>
      <c r="C2" s="14" t="s">
        <v>41</v>
      </c>
      <c r="D2" s="14" t="s">
        <v>42</v>
      </c>
      <c r="E2" s="13" t="s">
        <v>43</v>
      </c>
      <c r="F2" s="15" t="s">
        <v>44</v>
      </c>
      <c r="G2" s="16"/>
      <c r="H2" s="17"/>
      <c r="I2" s="16"/>
      <c r="J2" s="13"/>
      <c r="K2" s="18" t="str">
        <f aca="false">IF(G2="","To review",IF(AND(G2="Change",H2=""),"Add corrected text",IF(AND(H2&lt;&gt;"",J2&lt;&gt;"",ISERROR(SEARCH(J2,H2))),"Keep "&amp;J2,"")))</f>
        <v>To review</v>
      </c>
      <c r="L2" s="19"/>
    </row>
    <row r="3" customFormat="false" ht="46.25" hidden="false" customHeight="false" outlineLevel="0" collapsed="false">
      <c r="A3" s="13" t="n">
        <v>2</v>
      </c>
      <c r="B3" s="13" t="s">
        <v>23</v>
      </c>
      <c r="C3" s="14" t="s">
        <v>41</v>
      </c>
      <c r="D3" s="14" t="s">
        <v>45</v>
      </c>
      <c r="E3" s="13" t="s">
        <v>46</v>
      </c>
      <c r="F3" s="15" t="s">
        <v>47</v>
      </c>
      <c r="G3" s="16"/>
      <c r="H3" s="17"/>
      <c r="I3" s="16"/>
      <c r="J3" s="13"/>
      <c r="K3" s="18" t="str">
        <f aca="false">IF(G3="","To review",IF(AND(G3="Change",H3=""),"Add corrected text",IF(AND(H3&lt;&gt;"",J3&lt;&gt;"",ISERROR(SEARCH(J3,H3))),"Keep "&amp;J3,"")))</f>
        <v>To review</v>
      </c>
      <c r="L3" s="19"/>
    </row>
    <row r="4" customFormat="false" ht="46.25" hidden="false" customHeight="false" outlineLevel="0" collapsed="false">
      <c r="A4" s="13" t="n">
        <v>3</v>
      </c>
      <c r="B4" s="13" t="s">
        <v>23</v>
      </c>
      <c r="C4" s="14" t="s">
        <v>41</v>
      </c>
      <c r="D4" s="14" t="s">
        <v>48</v>
      </c>
      <c r="E4" s="13" t="s">
        <v>49</v>
      </c>
      <c r="F4" s="15" t="s">
        <v>50</v>
      </c>
      <c r="G4" s="16"/>
      <c r="H4" s="17"/>
      <c r="I4" s="16"/>
      <c r="J4" s="13"/>
      <c r="K4" s="18" t="str">
        <f aca="false">IF(G4="","To review",IF(AND(G4="Change",H4=""),"Add corrected text",IF(AND(H4&lt;&gt;"",J4&lt;&gt;"",ISERROR(SEARCH(J4,H4))),"Keep "&amp;J4,"")))</f>
        <v>To review</v>
      </c>
      <c r="L4" s="19"/>
    </row>
    <row r="5" customFormat="false" ht="46.25" hidden="false" customHeight="false" outlineLevel="0" collapsed="false">
      <c r="A5" s="13" t="n">
        <v>4</v>
      </c>
      <c r="B5" s="13" t="s">
        <v>23</v>
      </c>
      <c r="C5" s="14" t="s">
        <v>41</v>
      </c>
      <c r="D5" s="14" t="s">
        <v>51</v>
      </c>
      <c r="E5" s="13" t="s">
        <v>52</v>
      </c>
      <c r="F5" s="15" t="s">
        <v>53</v>
      </c>
      <c r="G5" s="16"/>
      <c r="H5" s="17"/>
      <c r="I5" s="16"/>
      <c r="J5" s="13"/>
      <c r="K5" s="18" t="str">
        <f aca="false">IF(G5="","To review",IF(AND(G5="Change",H5=""),"Add corrected text",IF(AND(H5&lt;&gt;"",J5&lt;&gt;"",ISERROR(SEARCH(J5,H5))),"Keep "&amp;J5,"")))</f>
        <v>To review</v>
      </c>
      <c r="L5" s="19"/>
    </row>
    <row r="6" customFormat="false" ht="46.25" hidden="false" customHeight="false" outlineLevel="0" collapsed="false">
      <c r="A6" s="13" t="n">
        <v>5</v>
      </c>
      <c r="B6" s="13" t="s">
        <v>23</v>
      </c>
      <c r="C6" s="14" t="s">
        <v>41</v>
      </c>
      <c r="D6" s="14" t="s">
        <v>54</v>
      </c>
      <c r="E6" s="13" t="s">
        <v>55</v>
      </c>
      <c r="F6" s="15" t="s">
        <v>56</v>
      </c>
      <c r="G6" s="16"/>
      <c r="H6" s="17"/>
      <c r="I6" s="16"/>
      <c r="J6" s="13"/>
      <c r="K6" s="18" t="str">
        <f aca="false">IF(G6="","To review",IF(AND(G6="Change",H6=""),"Add corrected text",IF(AND(H6&lt;&gt;"",J6&lt;&gt;"",ISERROR(SEARCH(J6,H6))),"Keep "&amp;J6,"")))</f>
        <v>To review</v>
      </c>
      <c r="L6" s="19"/>
    </row>
    <row r="7" customFormat="false" ht="46.25" hidden="false" customHeight="false" outlineLevel="0" collapsed="false">
      <c r="A7" s="13" t="n">
        <v>6</v>
      </c>
      <c r="B7" s="13" t="s">
        <v>23</v>
      </c>
      <c r="C7" s="14" t="s">
        <v>41</v>
      </c>
      <c r="D7" s="14" t="s">
        <v>57</v>
      </c>
      <c r="E7" s="13" t="s">
        <v>58</v>
      </c>
      <c r="F7" s="15" t="s">
        <v>59</v>
      </c>
      <c r="G7" s="16"/>
      <c r="H7" s="17"/>
      <c r="I7" s="16"/>
      <c r="J7" s="13"/>
      <c r="K7" s="18" t="str">
        <f aca="false">IF(G7="","To review",IF(AND(G7="Change",H7=""),"Add corrected text",IF(AND(H7&lt;&gt;"",J7&lt;&gt;"",ISERROR(SEARCH(J7,H7))),"Keep "&amp;J7,"")))</f>
        <v>To review</v>
      </c>
      <c r="L7" s="19"/>
    </row>
    <row r="8" customFormat="false" ht="46.25" hidden="false" customHeight="false" outlineLevel="0" collapsed="false">
      <c r="A8" s="13" t="n">
        <v>7</v>
      </c>
      <c r="B8" s="13" t="s">
        <v>23</v>
      </c>
      <c r="C8" s="14" t="s">
        <v>41</v>
      </c>
      <c r="D8" s="14" t="s">
        <v>60</v>
      </c>
      <c r="E8" s="13" t="s">
        <v>61</v>
      </c>
      <c r="F8" s="15" t="s">
        <v>18</v>
      </c>
      <c r="G8" s="16"/>
      <c r="H8" s="17"/>
      <c r="I8" s="20" t="s">
        <v>62</v>
      </c>
      <c r="J8" s="13"/>
      <c r="K8" s="18" t="str">
        <f aca="false">IF(G8="","To review",IF(AND(G8="Change",H8=""),"Add corrected text",IF(AND(H8&lt;&gt;"",J8&lt;&gt;"",ISERROR(SEARCH(J8,H8))),"Keep "&amp;J8,"")))</f>
        <v>To review</v>
      </c>
      <c r="L8" s="19"/>
    </row>
    <row r="9" customFormat="false" ht="46.25" hidden="false" customHeight="false" outlineLevel="0" collapsed="false">
      <c r="A9" s="13" t="n">
        <v>8</v>
      </c>
      <c r="B9" s="13" t="s">
        <v>23</v>
      </c>
      <c r="C9" s="14" t="s">
        <v>41</v>
      </c>
      <c r="D9" s="14" t="s">
        <v>63</v>
      </c>
      <c r="E9" s="13" t="s">
        <v>64</v>
      </c>
      <c r="F9" s="15" t="s">
        <v>65</v>
      </c>
      <c r="G9" s="16"/>
      <c r="H9" s="17"/>
      <c r="I9" s="16"/>
      <c r="J9" s="13"/>
      <c r="K9" s="18" t="str">
        <f aca="false">IF(G9="","To review",IF(AND(G9="Change",H9=""),"Add corrected text",IF(AND(H9&lt;&gt;"",J9&lt;&gt;"",ISERROR(SEARCH(J9,H9))),"Keep "&amp;J9,"")))</f>
        <v>To review</v>
      </c>
      <c r="L9" s="19"/>
    </row>
    <row r="10" customFormat="false" ht="46.25" hidden="false" customHeight="false" outlineLevel="0" collapsed="false">
      <c r="A10" s="13" t="n">
        <v>9</v>
      </c>
      <c r="B10" s="13" t="s">
        <v>23</v>
      </c>
      <c r="C10" s="14" t="s">
        <v>41</v>
      </c>
      <c r="D10" s="14" t="s">
        <v>66</v>
      </c>
      <c r="E10" s="13" t="s">
        <v>67</v>
      </c>
      <c r="F10" s="15" t="s">
        <v>68</v>
      </c>
      <c r="G10" s="16"/>
      <c r="H10" s="17"/>
      <c r="I10" s="16"/>
      <c r="J10" s="13"/>
      <c r="K10" s="18" t="str">
        <f aca="false">IF(G10="","To review",IF(AND(G10="Change",H10=""),"Add corrected text",IF(AND(H10&lt;&gt;"",J10&lt;&gt;"",ISERROR(SEARCH(J10,H10))),"Keep "&amp;J10,"")))</f>
        <v>To review</v>
      </c>
      <c r="L10" s="19"/>
    </row>
    <row r="11" customFormat="false" ht="46.25" hidden="false" customHeight="false" outlineLevel="0" collapsed="false">
      <c r="A11" s="13" t="n">
        <v>10</v>
      </c>
      <c r="B11" s="13" t="s">
        <v>23</v>
      </c>
      <c r="C11" s="14" t="s">
        <v>41</v>
      </c>
      <c r="D11" s="14" t="s">
        <v>69</v>
      </c>
      <c r="E11" s="13" t="s">
        <v>70</v>
      </c>
      <c r="F11" s="15" t="s">
        <v>71</v>
      </c>
      <c r="G11" s="16"/>
      <c r="H11" s="17"/>
      <c r="I11" s="16"/>
      <c r="J11" s="13"/>
      <c r="K11" s="18" t="str">
        <f aca="false">IF(G11="","To review",IF(AND(G11="Change",H11=""),"Add corrected text",IF(AND(H11&lt;&gt;"",J11&lt;&gt;"",ISERROR(SEARCH(J11,H11))),"Keep "&amp;J11,"")))</f>
        <v>To review</v>
      </c>
      <c r="L11" s="19"/>
    </row>
    <row r="12" customFormat="false" ht="46.25" hidden="false" customHeight="false" outlineLevel="0" collapsed="false">
      <c r="A12" s="13" t="n">
        <v>11</v>
      </c>
      <c r="B12" s="13" t="s">
        <v>23</v>
      </c>
      <c r="C12" s="14" t="s">
        <v>41</v>
      </c>
      <c r="D12" s="14" t="s">
        <v>72</v>
      </c>
      <c r="E12" s="13" t="s">
        <v>73</v>
      </c>
      <c r="F12" s="15" t="s">
        <v>74</v>
      </c>
      <c r="G12" s="16"/>
      <c r="H12" s="17"/>
      <c r="I12" s="16"/>
      <c r="J12" s="13"/>
      <c r="K12" s="18" t="str">
        <f aca="false">IF(G12="","To review",IF(AND(G12="Change",H12=""),"Add corrected text",IF(AND(H12&lt;&gt;"",J12&lt;&gt;"",ISERROR(SEARCH(J12,H12))),"Keep "&amp;J12,"")))</f>
        <v>To review</v>
      </c>
      <c r="L12" s="19"/>
    </row>
    <row r="13" customFormat="false" ht="46.25" hidden="false" customHeight="false" outlineLevel="0" collapsed="false">
      <c r="A13" s="13" t="n">
        <v>12</v>
      </c>
      <c r="B13" s="13" t="s">
        <v>23</v>
      </c>
      <c r="C13" s="14" t="s">
        <v>41</v>
      </c>
      <c r="D13" s="14" t="s">
        <v>75</v>
      </c>
      <c r="E13" s="13" t="s">
        <v>24</v>
      </c>
      <c r="F13" s="15" t="s">
        <v>25</v>
      </c>
      <c r="G13" s="16"/>
      <c r="H13" s="17"/>
      <c r="I13" s="16"/>
      <c r="J13" s="13"/>
      <c r="K13" s="18" t="str">
        <f aca="false">IF(G13="","To review",IF(AND(G13="Change",H13=""),"Add corrected text",IF(AND(H13&lt;&gt;"",J13&lt;&gt;"",ISERROR(SEARCH(J13,H13))),"Keep "&amp;J13,"")))</f>
        <v>To review</v>
      </c>
      <c r="L13" s="19"/>
    </row>
    <row r="14" customFormat="false" ht="46.25" hidden="false" customHeight="false" outlineLevel="0" collapsed="false">
      <c r="A14" s="13" t="n">
        <v>13</v>
      </c>
      <c r="B14" s="13" t="s">
        <v>23</v>
      </c>
      <c r="C14" s="14" t="s">
        <v>41</v>
      </c>
      <c r="D14" s="14" t="s">
        <v>76</v>
      </c>
      <c r="E14" s="13" t="s">
        <v>77</v>
      </c>
      <c r="F14" s="15" t="s">
        <v>78</v>
      </c>
      <c r="G14" s="16"/>
      <c r="H14" s="17"/>
      <c r="I14" s="16"/>
      <c r="J14" s="13"/>
      <c r="K14" s="18" t="str">
        <f aca="false">IF(G14="","To review",IF(AND(G14="Change",H14=""),"Add corrected text",IF(AND(H14&lt;&gt;"",J14&lt;&gt;"",ISERROR(SEARCH(J14,H14))),"Keep "&amp;J14,"")))</f>
        <v>To review</v>
      </c>
      <c r="L14" s="19"/>
    </row>
    <row r="15" customFormat="false" ht="46.25" hidden="false" customHeight="false" outlineLevel="0" collapsed="false">
      <c r="A15" s="13" t="n">
        <v>14</v>
      </c>
      <c r="B15" s="13" t="s">
        <v>23</v>
      </c>
      <c r="C15" s="14" t="s">
        <v>41</v>
      </c>
      <c r="D15" s="14" t="s">
        <v>79</v>
      </c>
      <c r="E15" s="13" t="s">
        <v>80</v>
      </c>
      <c r="F15" s="15" t="s">
        <v>81</v>
      </c>
      <c r="G15" s="16"/>
      <c r="H15" s="17"/>
      <c r="I15" s="16"/>
      <c r="J15" s="13"/>
      <c r="K15" s="18" t="str">
        <f aca="false">IF(G15="","To review",IF(AND(G15="Change",H15=""),"Add corrected text",IF(AND(H15&lt;&gt;"",J15&lt;&gt;"",ISERROR(SEARCH(J15,H15))),"Keep "&amp;J15,"")))</f>
        <v>To review</v>
      </c>
      <c r="L15" s="19"/>
    </row>
    <row r="16" customFormat="false" ht="46.25" hidden="false" customHeight="false" outlineLevel="0" collapsed="false">
      <c r="A16" s="13" t="n">
        <v>15</v>
      </c>
      <c r="B16" s="13" t="s">
        <v>23</v>
      </c>
      <c r="C16" s="14" t="s">
        <v>41</v>
      </c>
      <c r="D16" s="14" t="s">
        <v>82</v>
      </c>
      <c r="E16" s="13" t="s">
        <v>83</v>
      </c>
      <c r="F16" s="15" t="s">
        <v>84</v>
      </c>
      <c r="G16" s="16"/>
      <c r="H16" s="17"/>
      <c r="I16" s="16"/>
      <c r="J16" s="13"/>
      <c r="K16" s="18" t="str">
        <f aca="false">IF(G16="","To review",IF(AND(G16="Change",H16=""),"Add corrected text",IF(AND(H16&lt;&gt;"",J16&lt;&gt;"",ISERROR(SEARCH(J16,H16))),"Keep "&amp;J16,"")))</f>
        <v>To review</v>
      </c>
      <c r="L16" s="19"/>
    </row>
    <row r="17" customFormat="false" ht="46.25" hidden="false" customHeight="false" outlineLevel="0" collapsed="false">
      <c r="A17" s="13" t="n">
        <v>16</v>
      </c>
      <c r="B17" s="13" t="s">
        <v>23</v>
      </c>
      <c r="C17" s="14" t="s">
        <v>41</v>
      </c>
      <c r="D17" s="14" t="s">
        <v>85</v>
      </c>
      <c r="E17" s="13" t="s">
        <v>86</v>
      </c>
      <c r="F17" s="15" t="s">
        <v>87</v>
      </c>
      <c r="G17" s="16"/>
      <c r="H17" s="17"/>
      <c r="I17" s="16"/>
      <c r="J17" s="13"/>
      <c r="K17" s="18" t="str">
        <f aca="false">IF(G17="","To review",IF(AND(G17="Change",H17=""),"Add corrected text",IF(AND(H17&lt;&gt;"",J17&lt;&gt;"",ISERROR(SEARCH(J17,H17))),"Keep "&amp;J17,"")))</f>
        <v>To review</v>
      </c>
      <c r="L17" s="19"/>
    </row>
    <row r="18" customFormat="false" ht="46.25" hidden="false" customHeight="false" outlineLevel="0" collapsed="false">
      <c r="A18" s="13" t="n">
        <v>17</v>
      </c>
      <c r="B18" s="13" t="s">
        <v>23</v>
      </c>
      <c r="C18" s="14" t="s">
        <v>41</v>
      </c>
      <c r="D18" s="14" t="s">
        <v>88</v>
      </c>
      <c r="E18" s="13" t="s">
        <v>89</v>
      </c>
      <c r="F18" s="15" t="s">
        <v>90</v>
      </c>
      <c r="G18" s="16"/>
      <c r="H18" s="17"/>
      <c r="I18" s="16"/>
      <c r="J18" s="13"/>
      <c r="K18" s="18" t="str">
        <f aca="false">IF(G18="","To review",IF(AND(G18="Change",H18=""),"Add corrected text",IF(AND(H18&lt;&gt;"",J18&lt;&gt;"",ISERROR(SEARCH(J18,H18))),"Keep "&amp;J18,"")))</f>
        <v>To review</v>
      </c>
      <c r="L18" s="19"/>
    </row>
    <row r="19" customFormat="false" ht="46.25" hidden="false" customHeight="false" outlineLevel="0" collapsed="false">
      <c r="A19" s="13" t="n">
        <v>18</v>
      </c>
      <c r="B19" s="13" t="s">
        <v>23</v>
      </c>
      <c r="C19" s="14" t="s">
        <v>41</v>
      </c>
      <c r="D19" s="14" t="s">
        <v>91</v>
      </c>
      <c r="E19" s="13" t="s">
        <v>92</v>
      </c>
      <c r="F19" s="15" t="s">
        <v>93</v>
      </c>
      <c r="G19" s="16"/>
      <c r="H19" s="17"/>
      <c r="I19" s="16"/>
      <c r="J19" s="13"/>
      <c r="K19" s="18" t="str">
        <f aca="false">IF(G19="","To review",IF(AND(G19="Change",H19=""),"Add corrected text",IF(AND(H19&lt;&gt;"",J19&lt;&gt;"",ISERROR(SEARCH(J19,H19))),"Keep "&amp;J19,"")))</f>
        <v>To review</v>
      </c>
      <c r="L19" s="19"/>
    </row>
    <row r="20" customFormat="false" ht="46.25" hidden="false" customHeight="false" outlineLevel="0" collapsed="false">
      <c r="A20" s="13" t="n">
        <v>19</v>
      </c>
      <c r="B20" s="13" t="s">
        <v>23</v>
      </c>
      <c r="C20" s="14" t="s">
        <v>41</v>
      </c>
      <c r="D20" s="14" t="s">
        <v>94</v>
      </c>
      <c r="E20" s="13" t="s">
        <v>95</v>
      </c>
      <c r="F20" s="15" t="s">
        <v>96</v>
      </c>
      <c r="G20" s="16"/>
      <c r="H20" s="17"/>
      <c r="I20" s="16"/>
      <c r="J20" s="13"/>
      <c r="K20" s="18" t="str">
        <f aca="false">IF(G20="","To review",IF(AND(G20="Change",H20=""),"Add corrected text",IF(AND(H20&lt;&gt;"",J20&lt;&gt;"",ISERROR(SEARCH(J20,H20))),"Keep "&amp;J20,"")))</f>
        <v>To review</v>
      </c>
      <c r="L20" s="19"/>
    </row>
    <row r="21" customFormat="false" ht="46.25" hidden="false" customHeight="false" outlineLevel="0" collapsed="false">
      <c r="A21" s="13" t="n">
        <v>20</v>
      </c>
      <c r="B21" s="13" t="s">
        <v>23</v>
      </c>
      <c r="C21" s="14" t="s">
        <v>41</v>
      </c>
      <c r="D21" s="14" t="s">
        <v>97</v>
      </c>
      <c r="E21" s="13" t="s">
        <v>98</v>
      </c>
      <c r="F21" s="15" t="s">
        <v>99</v>
      </c>
      <c r="G21" s="16"/>
      <c r="H21" s="17"/>
      <c r="I21" s="16"/>
      <c r="J21" s="13"/>
      <c r="K21" s="18" t="str">
        <f aca="false">IF(G21="","To review",IF(AND(G21="Change",H21=""),"Add corrected text",IF(AND(H21&lt;&gt;"",J21&lt;&gt;"",ISERROR(SEARCH(J21,H21))),"Keep "&amp;J21,"")))</f>
        <v>To review</v>
      </c>
      <c r="L21" s="19"/>
    </row>
    <row r="22" customFormat="false" ht="46.25" hidden="false" customHeight="false" outlineLevel="0" collapsed="false">
      <c r="A22" s="13" t="n">
        <v>21</v>
      </c>
      <c r="B22" s="13" t="s">
        <v>23</v>
      </c>
      <c r="C22" s="14" t="s">
        <v>41</v>
      </c>
      <c r="D22" s="14" t="s">
        <v>100</v>
      </c>
      <c r="E22" s="13" t="s">
        <v>101</v>
      </c>
      <c r="F22" s="15" t="s">
        <v>102</v>
      </c>
      <c r="G22" s="16"/>
      <c r="H22" s="17"/>
      <c r="I22" s="16"/>
      <c r="J22" s="13"/>
      <c r="K22" s="18" t="str">
        <f aca="false">IF(G22="","To review",IF(AND(G22="Change",H22=""),"Add corrected text",IF(AND(H22&lt;&gt;"",J22&lt;&gt;"",ISERROR(SEARCH(J22,H22))),"Keep "&amp;J22,"")))</f>
        <v>To review</v>
      </c>
      <c r="L22" s="19"/>
    </row>
    <row r="23" customFormat="false" ht="46.25" hidden="false" customHeight="false" outlineLevel="0" collapsed="false">
      <c r="A23" s="13" t="n">
        <v>22</v>
      </c>
      <c r="B23" s="13" t="s">
        <v>23</v>
      </c>
      <c r="C23" s="14" t="s">
        <v>41</v>
      </c>
      <c r="D23" s="14" t="s">
        <v>103</v>
      </c>
      <c r="E23" s="13" t="s">
        <v>104</v>
      </c>
      <c r="F23" s="15" t="s">
        <v>105</v>
      </c>
      <c r="G23" s="16"/>
      <c r="H23" s="17"/>
      <c r="I23" s="16"/>
      <c r="J23" s="13"/>
      <c r="K23" s="18" t="str">
        <f aca="false">IF(G23="","To review",IF(AND(G23="Change",H23=""),"Add corrected text",IF(AND(H23&lt;&gt;"",J23&lt;&gt;"",ISERROR(SEARCH(J23,H23))),"Keep "&amp;J23,"")))</f>
        <v>To review</v>
      </c>
      <c r="L23" s="19"/>
    </row>
    <row r="24" customFormat="false" ht="46.25" hidden="false" customHeight="false" outlineLevel="0" collapsed="false">
      <c r="A24" s="13" t="n">
        <v>23</v>
      </c>
      <c r="B24" s="13" t="s">
        <v>23</v>
      </c>
      <c r="C24" s="14" t="s">
        <v>41</v>
      </c>
      <c r="D24" s="14" t="s">
        <v>106</v>
      </c>
      <c r="E24" s="13" t="s">
        <v>107</v>
      </c>
      <c r="F24" s="15" t="s">
        <v>108</v>
      </c>
      <c r="G24" s="16"/>
      <c r="H24" s="17"/>
      <c r="I24" s="16"/>
      <c r="J24" s="13"/>
      <c r="K24" s="18" t="str">
        <f aca="false">IF(G24="","To review",IF(AND(G24="Change",H24=""),"Add corrected text",IF(AND(H24&lt;&gt;"",J24&lt;&gt;"",ISERROR(SEARCH(J24,H24))),"Keep "&amp;J24,"")))</f>
        <v>To review</v>
      </c>
      <c r="L24" s="19"/>
    </row>
    <row r="25" customFormat="false" ht="39.55" hidden="false" customHeight="false" outlineLevel="0" collapsed="false">
      <c r="A25" s="13" t="n">
        <v>24</v>
      </c>
      <c r="B25" s="13" t="s">
        <v>109</v>
      </c>
      <c r="C25" s="14" t="s">
        <v>110</v>
      </c>
      <c r="D25" s="14" t="s">
        <v>111</v>
      </c>
      <c r="E25" s="13" t="s">
        <v>112</v>
      </c>
      <c r="F25" s="15" t="s">
        <v>113</v>
      </c>
      <c r="G25" s="16"/>
      <c r="H25" s="17"/>
      <c r="I25" s="16"/>
      <c r="J25" s="13"/>
      <c r="K25" s="18" t="str">
        <f aca="false">IF(G25="","To review",IF(AND(G25="Change",H25=""),"Add corrected text",IF(AND(H25&lt;&gt;"",J25&lt;&gt;"",ISERROR(SEARCH(J25,H25))),"Keep "&amp;J25,"")))</f>
        <v>To review</v>
      </c>
      <c r="L25" s="19"/>
    </row>
    <row r="26" customFormat="false" ht="23.85" hidden="false" customHeight="false" outlineLevel="0" collapsed="false">
      <c r="A26" s="13" t="n">
        <v>25</v>
      </c>
      <c r="B26" s="13" t="s">
        <v>109</v>
      </c>
      <c r="C26" s="14" t="s">
        <v>110</v>
      </c>
      <c r="D26" s="14" t="s">
        <v>114</v>
      </c>
      <c r="E26" s="13" t="s">
        <v>115</v>
      </c>
      <c r="F26" s="15" t="s">
        <v>116</v>
      </c>
      <c r="G26" s="16"/>
      <c r="H26" s="17"/>
      <c r="I26" s="16"/>
      <c r="J26" s="13"/>
      <c r="K26" s="18" t="str">
        <f aca="false">IF(G26="","To review",IF(AND(G26="Change",H26=""),"Add corrected text",IF(AND(H26&lt;&gt;"",J26&lt;&gt;"",ISERROR(SEARCH(J26,H26))),"Keep "&amp;J26,"")))</f>
        <v>To review</v>
      </c>
      <c r="L26" s="19"/>
    </row>
    <row r="27" customFormat="false" ht="23.85" hidden="false" customHeight="false" outlineLevel="0" collapsed="false">
      <c r="A27" s="13" t="n">
        <v>26</v>
      </c>
      <c r="B27" s="13" t="s">
        <v>109</v>
      </c>
      <c r="C27" s="14" t="s">
        <v>110</v>
      </c>
      <c r="D27" s="14" t="s">
        <v>117</v>
      </c>
      <c r="E27" s="13" t="s">
        <v>118</v>
      </c>
      <c r="F27" s="15" t="s">
        <v>119</v>
      </c>
      <c r="G27" s="16"/>
      <c r="H27" s="17"/>
      <c r="I27" s="16"/>
      <c r="J27" s="13"/>
      <c r="K27" s="18" t="str">
        <f aca="false">IF(G27="","To review",IF(AND(G27="Change",H27=""),"Add corrected text",IF(AND(H27&lt;&gt;"",J27&lt;&gt;"",ISERROR(SEARCH(J27,H27))),"Keep "&amp;J27,"")))</f>
        <v>To review</v>
      </c>
      <c r="L27" s="19"/>
    </row>
    <row r="28" customFormat="false" ht="23.85" hidden="false" customHeight="false" outlineLevel="0" collapsed="false">
      <c r="A28" s="13" t="n">
        <v>27</v>
      </c>
      <c r="B28" s="13" t="s">
        <v>109</v>
      </c>
      <c r="C28" s="14" t="s">
        <v>110</v>
      </c>
      <c r="D28" s="14" t="s">
        <v>120</v>
      </c>
      <c r="E28" s="13" t="s">
        <v>121</v>
      </c>
      <c r="F28" s="15" t="s">
        <v>122</v>
      </c>
      <c r="G28" s="16"/>
      <c r="H28" s="17"/>
      <c r="I28" s="16"/>
      <c r="J28" s="13"/>
      <c r="K28" s="18" t="str">
        <f aca="false">IF(G28="","To review",IF(AND(G28="Change",H28=""),"Add corrected text",IF(AND(H28&lt;&gt;"",J28&lt;&gt;"",ISERROR(SEARCH(J28,H28))),"Keep "&amp;J28,"")))</f>
        <v>To review</v>
      </c>
      <c r="L28" s="19"/>
    </row>
    <row r="29" customFormat="false" ht="26.85" hidden="false" customHeight="false" outlineLevel="0" collapsed="false">
      <c r="A29" s="13" t="n">
        <v>28</v>
      </c>
      <c r="B29" s="13" t="s">
        <v>109</v>
      </c>
      <c r="C29" s="14" t="s">
        <v>110</v>
      </c>
      <c r="D29" s="14" t="s">
        <v>123</v>
      </c>
      <c r="E29" s="13" t="s">
        <v>124</v>
      </c>
      <c r="F29" s="15" t="s">
        <v>125</v>
      </c>
      <c r="G29" s="16"/>
      <c r="H29" s="17"/>
      <c r="I29" s="16"/>
      <c r="J29" s="13"/>
      <c r="K29" s="18" t="str">
        <f aca="false">IF(G29="","To review",IF(AND(G29="Change",H29=""),"Add corrected text",IF(AND(H29&lt;&gt;"",J29&lt;&gt;"",ISERROR(SEARCH(J29,H29))),"Keep "&amp;J29,"")))</f>
        <v>To review</v>
      </c>
      <c r="L29" s="19"/>
    </row>
    <row r="30" customFormat="false" ht="23.85" hidden="false" customHeight="false" outlineLevel="0" collapsed="false">
      <c r="A30" s="13" t="n">
        <v>29</v>
      </c>
      <c r="B30" s="13" t="s">
        <v>109</v>
      </c>
      <c r="C30" s="14" t="s">
        <v>110</v>
      </c>
      <c r="D30" s="14" t="s">
        <v>126</v>
      </c>
      <c r="E30" s="13" t="s">
        <v>92</v>
      </c>
      <c r="F30" s="15" t="s">
        <v>127</v>
      </c>
      <c r="G30" s="16"/>
      <c r="H30" s="17"/>
      <c r="I30" s="16"/>
      <c r="J30" s="13"/>
      <c r="K30" s="18" t="str">
        <f aca="false">IF(G30="","To review",IF(AND(G30="Change",H30=""),"Add corrected text",IF(AND(H30&lt;&gt;"",J30&lt;&gt;"",ISERROR(SEARCH(J30,H30))),"Keep "&amp;J30,"")))</f>
        <v>To review</v>
      </c>
      <c r="L30" s="19"/>
    </row>
    <row r="31" customFormat="false" ht="23.85" hidden="false" customHeight="false" outlineLevel="0" collapsed="false">
      <c r="A31" s="13" t="n">
        <v>30</v>
      </c>
      <c r="B31" s="13" t="s">
        <v>109</v>
      </c>
      <c r="C31" s="14" t="s">
        <v>110</v>
      </c>
      <c r="D31" s="14" t="s">
        <v>128</v>
      </c>
      <c r="E31" s="13" t="s">
        <v>129</v>
      </c>
      <c r="F31" s="15" t="s">
        <v>130</v>
      </c>
      <c r="G31" s="16"/>
      <c r="H31" s="17"/>
      <c r="I31" s="16"/>
      <c r="J31" s="13"/>
      <c r="K31" s="18" t="str">
        <f aca="false">IF(G31="","To review",IF(AND(G31="Change",H31=""),"Add corrected text",IF(AND(H31&lt;&gt;"",J31&lt;&gt;"",ISERROR(SEARCH(J31,H31))),"Keep "&amp;J31,"")))</f>
        <v>To review</v>
      </c>
      <c r="L31" s="19"/>
    </row>
    <row r="32" customFormat="false" ht="26.85" hidden="false" customHeight="false" outlineLevel="0" collapsed="false">
      <c r="A32" s="13" t="n">
        <v>31</v>
      </c>
      <c r="B32" s="13" t="s">
        <v>109</v>
      </c>
      <c r="C32" s="14" t="s">
        <v>110</v>
      </c>
      <c r="D32" s="14" t="s">
        <v>131</v>
      </c>
      <c r="E32" s="13" t="s">
        <v>132</v>
      </c>
      <c r="F32" s="15" t="s">
        <v>133</v>
      </c>
      <c r="G32" s="16"/>
      <c r="H32" s="17"/>
      <c r="I32" s="16"/>
      <c r="J32" s="13"/>
      <c r="K32" s="18" t="str">
        <f aca="false">IF(G32="","To review",IF(AND(G32="Change",H32=""),"Add corrected text",IF(AND(H32&lt;&gt;"",J32&lt;&gt;"",ISERROR(SEARCH(J32,H32))),"Keep "&amp;J32,"")))</f>
        <v>To review</v>
      </c>
      <c r="L32" s="19"/>
    </row>
    <row r="33" customFormat="false" ht="23.85" hidden="false" customHeight="false" outlineLevel="0" collapsed="false">
      <c r="A33" s="13" t="n">
        <v>32</v>
      </c>
      <c r="B33" s="13" t="s">
        <v>109</v>
      </c>
      <c r="C33" s="14" t="s">
        <v>110</v>
      </c>
      <c r="D33" s="14" t="s">
        <v>134</v>
      </c>
      <c r="E33" s="13" t="s">
        <v>135</v>
      </c>
      <c r="F33" s="15" t="s">
        <v>136</v>
      </c>
      <c r="G33" s="16"/>
      <c r="H33" s="17"/>
      <c r="I33" s="16"/>
      <c r="J33" s="13"/>
      <c r="K33" s="18" t="str">
        <f aca="false">IF(G33="","To review",IF(AND(G33="Change",H33=""),"Add corrected text",IF(AND(H33&lt;&gt;"",J33&lt;&gt;"",ISERROR(SEARCH(J33,H33))),"Keep "&amp;J33,"")))</f>
        <v>To review</v>
      </c>
      <c r="L33" s="19"/>
    </row>
    <row r="34" customFormat="false" ht="39.55" hidden="false" customHeight="false" outlineLevel="0" collapsed="false">
      <c r="A34" s="13" t="n">
        <v>33</v>
      </c>
      <c r="B34" s="13" t="s">
        <v>137</v>
      </c>
      <c r="C34" s="14" t="s">
        <v>110</v>
      </c>
      <c r="D34" s="14" t="s">
        <v>138</v>
      </c>
      <c r="E34" s="13" t="s">
        <v>139</v>
      </c>
      <c r="F34" s="15" t="s">
        <v>140</v>
      </c>
      <c r="G34" s="16"/>
      <c r="H34" s="17"/>
      <c r="I34" s="16"/>
      <c r="J34" s="13"/>
      <c r="K34" s="18" t="str">
        <f aca="false">IF(G34="","To review",IF(AND(G34="Change",H34=""),"Add corrected text",IF(AND(H34&lt;&gt;"",J34&lt;&gt;"",ISERROR(SEARCH(J34,H34))),"Keep "&amp;J34,"")))</f>
        <v>To review</v>
      </c>
      <c r="L34" s="19"/>
    </row>
    <row r="35" customFormat="false" ht="23.85" hidden="false" customHeight="false" outlineLevel="0" collapsed="false">
      <c r="A35" s="13" t="n">
        <v>34</v>
      </c>
      <c r="B35" s="13" t="s">
        <v>137</v>
      </c>
      <c r="C35" s="14" t="s">
        <v>110</v>
      </c>
      <c r="D35" s="14" t="s">
        <v>141</v>
      </c>
      <c r="E35" s="13" t="s">
        <v>142</v>
      </c>
      <c r="F35" s="15" t="s">
        <v>143</v>
      </c>
      <c r="G35" s="16"/>
      <c r="H35" s="17"/>
      <c r="I35" s="16"/>
      <c r="J35" s="13"/>
      <c r="K35" s="18" t="str">
        <f aca="false">IF(G35="","To review",IF(AND(G35="Change",H35=""),"Add corrected text",IF(AND(H35&lt;&gt;"",J35&lt;&gt;"",ISERROR(SEARCH(J35,H35))),"Keep "&amp;J35,"")))</f>
        <v>To review</v>
      </c>
      <c r="L35" s="19"/>
    </row>
    <row r="36" customFormat="false" ht="23.85" hidden="false" customHeight="false" outlineLevel="0" collapsed="false">
      <c r="A36" s="13" t="n">
        <v>35</v>
      </c>
      <c r="B36" s="13" t="s">
        <v>137</v>
      </c>
      <c r="C36" s="14" t="s">
        <v>110</v>
      </c>
      <c r="D36" s="14" t="s">
        <v>144</v>
      </c>
      <c r="E36" s="13" t="s">
        <v>145</v>
      </c>
      <c r="F36" s="15" t="s">
        <v>146</v>
      </c>
      <c r="G36" s="16"/>
      <c r="H36" s="17"/>
      <c r="I36" s="16"/>
      <c r="J36" s="13"/>
      <c r="K36" s="18" t="str">
        <f aca="false">IF(G36="","To review",IF(AND(G36="Change",H36=""),"Add corrected text",IF(AND(H36&lt;&gt;"",J36&lt;&gt;"",ISERROR(SEARCH(J36,H36))),"Keep "&amp;J36,"")))</f>
        <v>To review</v>
      </c>
      <c r="L36" s="19"/>
    </row>
    <row r="37" customFormat="false" ht="26.85" hidden="false" customHeight="false" outlineLevel="0" collapsed="false">
      <c r="A37" s="13" t="n">
        <v>36</v>
      </c>
      <c r="B37" s="13" t="s">
        <v>147</v>
      </c>
      <c r="C37" s="14" t="s">
        <v>110</v>
      </c>
      <c r="D37" s="14" t="s">
        <v>148</v>
      </c>
      <c r="E37" s="13" t="s">
        <v>149</v>
      </c>
      <c r="F37" s="15" t="s">
        <v>150</v>
      </c>
      <c r="G37" s="16"/>
      <c r="H37" s="17"/>
      <c r="I37" s="16"/>
      <c r="J37" s="13"/>
      <c r="K37" s="18" t="str">
        <f aca="false">IF(G37="","To review",IF(AND(G37="Change",H37=""),"Add corrected text",IF(AND(H37&lt;&gt;"",J37&lt;&gt;"",ISERROR(SEARCH(J37,H37))),"Keep "&amp;J37,"")))</f>
        <v>To review</v>
      </c>
      <c r="L37" s="19"/>
    </row>
    <row r="38" customFormat="false" ht="39.55" hidden="false" customHeight="false" outlineLevel="0" collapsed="false">
      <c r="A38" s="13" t="n">
        <v>37</v>
      </c>
      <c r="B38" s="13" t="s">
        <v>147</v>
      </c>
      <c r="C38" s="14" t="s">
        <v>110</v>
      </c>
      <c r="D38" s="14" t="s">
        <v>151</v>
      </c>
      <c r="E38" s="13" t="s">
        <v>152</v>
      </c>
      <c r="F38" s="15" t="s">
        <v>153</v>
      </c>
      <c r="G38" s="16"/>
      <c r="H38" s="17"/>
      <c r="I38" s="16"/>
      <c r="J38" s="13"/>
      <c r="K38" s="18" t="str">
        <f aca="false">IF(G38="","To review",IF(AND(G38="Change",H38=""),"Add corrected text",IF(AND(H38&lt;&gt;"",J38&lt;&gt;"",ISERROR(SEARCH(J38,H38))),"Keep "&amp;J38,"")))</f>
        <v>To review</v>
      </c>
      <c r="L38" s="19"/>
    </row>
    <row r="39" customFormat="false" ht="23.85" hidden="false" customHeight="false" outlineLevel="0" collapsed="false">
      <c r="A39" s="13" t="n">
        <v>38</v>
      </c>
      <c r="B39" s="13" t="s">
        <v>147</v>
      </c>
      <c r="C39" s="14" t="s">
        <v>110</v>
      </c>
      <c r="D39" s="14" t="s">
        <v>154</v>
      </c>
      <c r="E39" s="13" t="s">
        <v>155</v>
      </c>
      <c r="F39" s="15" t="s">
        <v>156</v>
      </c>
      <c r="G39" s="16"/>
      <c r="H39" s="17"/>
      <c r="I39" s="16"/>
      <c r="J39" s="13"/>
      <c r="K39" s="18" t="str">
        <f aca="false">IF(G39="","To review",IF(AND(G39="Change",H39=""),"Add corrected text",IF(AND(H39&lt;&gt;"",J39&lt;&gt;"",ISERROR(SEARCH(J39,H39))),"Keep "&amp;J39,"")))</f>
        <v>To review</v>
      </c>
      <c r="L39" s="19"/>
    </row>
    <row r="40" customFormat="false" ht="26.85" hidden="false" customHeight="false" outlineLevel="0" collapsed="false">
      <c r="A40" s="13" t="n">
        <v>39</v>
      </c>
      <c r="B40" s="13" t="s">
        <v>157</v>
      </c>
      <c r="C40" s="14" t="s">
        <v>110</v>
      </c>
      <c r="D40" s="14" t="s">
        <v>158</v>
      </c>
      <c r="E40" s="13" t="s">
        <v>159</v>
      </c>
      <c r="F40" s="15" t="s">
        <v>160</v>
      </c>
      <c r="G40" s="16"/>
      <c r="H40" s="17"/>
      <c r="I40" s="16"/>
      <c r="J40" s="13"/>
      <c r="K40" s="18" t="str">
        <f aca="false">IF(G40="","To review",IF(AND(G40="Change",H40=""),"Add corrected text",IF(AND(H40&lt;&gt;"",J40&lt;&gt;"",ISERROR(SEARCH(J40,H40))),"Keep "&amp;J40,"")))</f>
        <v>To review</v>
      </c>
      <c r="L40" s="19"/>
    </row>
    <row r="41" customFormat="false" ht="26.85" hidden="false" customHeight="false" outlineLevel="0" collapsed="false">
      <c r="A41" s="13" t="n">
        <v>40</v>
      </c>
      <c r="B41" s="13" t="s">
        <v>157</v>
      </c>
      <c r="C41" s="14" t="s">
        <v>110</v>
      </c>
      <c r="D41" s="14" t="s">
        <v>161</v>
      </c>
      <c r="E41" s="13" t="s">
        <v>162</v>
      </c>
      <c r="F41" s="15" t="s">
        <v>163</v>
      </c>
      <c r="G41" s="16"/>
      <c r="H41" s="17"/>
      <c r="I41" s="16"/>
      <c r="J41" s="13"/>
      <c r="K41" s="18" t="str">
        <f aca="false">IF(G41="","To review",IF(AND(G41="Change",H41=""),"Add corrected text",IF(AND(H41&lt;&gt;"",J41&lt;&gt;"",ISERROR(SEARCH(J41,H41))),"Keep "&amp;J41,"")))</f>
        <v>To review</v>
      </c>
      <c r="L41" s="19"/>
    </row>
    <row r="42" customFormat="false" ht="23.85" hidden="false" customHeight="false" outlineLevel="0" collapsed="false">
      <c r="A42" s="13" t="n">
        <v>41</v>
      </c>
      <c r="B42" s="13" t="s">
        <v>157</v>
      </c>
      <c r="C42" s="14" t="s">
        <v>110</v>
      </c>
      <c r="D42" s="14" t="s">
        <v>164</v>
      </c>
      <c r="E42" s="13" t="s">
        <v>165</v>
      </c>
      <c r="F42" s="15" t="s">
        <v>166</v>
      </c>
      <c r="G42" s="16"/>
      <c r="H42" s="17"/>
      <c r="I42" s="16"/>
      <c r="J42" s="13"/>
      <c r="K42" s="18" t="str">
        <f aca="false">IF(G42="","To review",IF(AND(G42="Change",H42=""),"Add corrected text",IF(AND(H42&lt;&gt;"",J42&lt;&gt;"",ISERROR(SEARCH(J42,H42))),"Keep "&amp;J42,"")))</f>
        <v>To review</v>
      </c>
      <c r="L42" s="19"/>
    </row>
    <row r="43" customFormat="false" ht="23.85" hidden="false" customHeight="false" outlineLevel="0" collapsed="false">
      <c r="A43" s="13" t="n">
        <v>42</v>
      </c>
      <c r="B43" s="13" t="s">
        <v>157</v>
      </c>
      <c r="C43" s="14" t="s">
        <v>110</v>
      </c>
      <c r="D43" s="14" t="s">
        <v>167</v>
      </c>
      <c r="E43" s="13" t="s">
        <v>168</v>
      </c>
      <c r="F43" s="15" t="s">
        <v>169</v>
      </c>
      <c r="G43" s="16"/>
      <c r="H43" s="17"/>
      <c r="I43" s="16"/>
      <c r="J43" s="13"/>
      <c r="K43" s="18" t="str">
        <f aca="false">IF(G43="","To review",IF(AND(G43="Change",H43=""),"Add corrected text",IF(AND(H43&lt;&gt;"",J43&lt;&gt;"",ISERROR(SEARCH(J43,H43))),"Keep "&amp;J43,"")))</f>
        <v>To review</v>
      </c>
      <c r="L43" s="19"/>
    </row>
    <row r="44" customFormat="false" ht="23.85" hidden="false" customHeight="false" outlineLevel="0" collapsed="false">
      <c r="A44" s="13" t="n">
        <v>43</v>
      </c>
      <c r="B44" s="13" t="s">
        <v>157</v>
      </c>
      <c r="C44" s="14" t="s">
        <v>110</v>
      </c>
      <c r="D44" s="14" t="s">
        <v>170</v>
      </c>
      <c r="E44" s="13" t="s">
        <v>171</v>
      </c>
      <c r="F44" s="15" t="s">
        <v>172</v>
      </c>
      <c r="G44" s="16"/>
      <c r="H44" s="17"/>
      <c r="I44" s="16"/>
      <c r="J44" s="13"/>
      <c r="K44" s="18" t="str">
        <f aca="false">IF(G44="","To review",IF(AND(G44="Change",H44=""),"Add corrected text",IF(AND(H44&lt;&gt;"",J44&lt;&gt;"",ISERROR(SEARCH(J44,H44))),"Keep "&amp;J44,"")))</f>
        <v>To review</v>
      </c>
      <c r="L44" s="19"/>
    </row>
    <row r="45" customFormat="false" ht="26.85" hidden="false" customHeight="false" outlineLevel="0" collapsed="false">
      <c r="A45" s="13" t="n">
        <v>44</v>
      </c>
      <c r="B45" s="13" t="s">
        <v>173</v>
      </c>
      <c r="C45" s="14" t="s">
        <v>110</v>
      </c>
      <c r="D45" s="14" t="s">
        <v>174</v>
      </c>
      <c r="E45" s="13" t="s">
        <v>175</v>
      </c>
      <c r="F45" s="15" t="s">
        <v>176</v>
      </c>
      <c r="G45" s="16"/>
      <c r="H45" s="17"/>
      <c r="I45" s="16"/>
      <c r="J45" s="13"/>
      <c r="K45" s="18" t="str">
        <f aca="false">IF(G45="","To review",IF(AND(G45="Change",H45=""),"Add corrected text",IF(AND(H45&lt;&gt;"",J45&lt;&gt;"",ISERROR(SEARCH(J45,H45))),"Keep "&amp;J45,"")))</f>
        <v>To review</v>
      </c>
      <c r="L45" s="19"/>
    </row>
    <row r="46" customFormat="false" ht="23.85" hidden="false" customHeight="false" outlineLevel="0" collapsed="false">
      <c r="A46" s="13" t="n">
        <v>45</v>
      </c>
      <c r="B46" s="13" t="s">
        <v>173</v>
      </c>
      <c r="C46" s="14" t="s">
        <v>110</v>
      </c>
      <c r="D46" s="14" t="s">
        <v>177</v>
      </c>
      <c r="E46" s="13" t="s">
        <v>178</v>
      </c>
      <c r="F46" s="15" t="s">
        <v>179</v>
      </c>
      <c r="G46" s="16"/>
      <c r="H46" s="17"/>
      <c r="I46" s="16"/>
      <c r="J46" s="13"/>
      <c r="K46" s="18" t="str">
        <f aca="false">IF(G46="","To review",IF(AND(G46="Change",H46=""),"Add corrected text",IF(AND(H46&lt;&gt;"",J46&lt;&gt;"",ISERROR(SEARCH(J46,H46))),"Keep "&amp;J46,"")))</f>
        <v>To review</v>
      </c>
      <c r="L46" s="19"/>
    </row>
    <row r="47" customFormat="false" ht="23.85" hidden="false" customHeight="false" outlineLevel="0" collapsed="false">
      <c r="A47" s="13" t="n">
        <v>46</v>
      </c>
      <c r="B47" s="13" t="s">
        <v>173</v>
      </c>
      <c r="C47" s="14" t="s">
        <v>110</v>
      </c>
      <c r="D47" s="14" t="s">
        <v>180</v>
      </c>
      <c r="E47" s="13" t="s">
        <v>173</v>
      </c>
      <c r="F47" s="15" t="s">
        <v>181</v>
      </c>
      <c r="G47" s="16"/>
      <c r="H47" s="17"/>
      <c r="I47" s="16"/>
      <c r="J47" s="13"/>
      <c r="K47" s="18" t="str">
        <f aca="false">IF(G47="","To review",IF(AND(G47="Change",H47=""),"Add corrected text",IF(AND(H47&lt;&gt;"",J47&lt;&gt;"",ISERROR(SEARCH(J47,H47))),"Keep "&amp;J47,"")))</f>
        <v>To review</v>
      </c>
      <c r="L47" s="19"/>
    </row>
    <row r="48" customFormat="false" ht="46.25" hidden="false" customHeight="false" outlineLevel="0" collapsed="false">
      <c r="A48" s="13" t="n">
        <v>47</v>
      </c>
      <c r="B48" s="13" t="s">
        <v>182</v>
      </c>
      <c r="C48" s="14" t="s">
        <v>183</v>
      </c>
      <c r="D48" s="14" t="s">
        <v>184</v>
      </c>
      <c r="E48" s="13" t="s">
        <v>185</v>
      </c>
      <c r="F48" s="15" t="s">
        <v>185</v>
      </c>
      <c r="G48" s="16"/>
      <c r="H48" s="17"/>
      <c r="I48" s="20" t="s">
        <v>186</v>
      </c>
      <c r="J48" s="13"/>
      <c r="K48" s="18" t="str">
        <f aca="false">IF(G48="","To review",IF(AND(G48="Change",H48=""),"Add corrected text",IF(AND(H48&lt;&gt;"",J48&lt;&gt;"",ISERROR(SEARCH(J48,H48))),"Keep "&amp;J48,"")))</f>
        <v>To review</v>
      </c>
      <c r="L48" s="19"/>
    </row>
    <row r="49" customFormat="false" ht="46.25" hidden="false" customHeight="false" outlineLevel="0" collapsed="false">
      <c r="A49" s="13" t="n">
        <v>48</v>
      </c>
      <c r="B49" s="13" t="s">
        <v>182</v>
      </c>
      <c r="C49" s="14" t="s">
        <v>183</v>
      </c>
      <c r="D49" s="14" t="s">
        <v>187</v>
      </c>
      <c r="E49" s="13" t="s">
        <v>188</v>
      </c>
      <c r="F49" s="15" t="s">
        <v>189</v>
      </c>
      <c r="G49" s="16"/>
      <c r="H49" s="17"/>
      <c r="I49" s="16"/>
      <c r="J49" s="13"/>
      <c r="K49" s="18" t="str">
        <f aca="false">IF(G49="","To review",IF(AND(G49="Change",H49=""),"Add corrected text",IF(AND(H49&lt;&gt;"",J49&lt;&gt;"",ISERROR(SEARCH(J49,H49))),"Keep "&amp;J49,"")))</f>
        <v>To review</v>
      </c>
      <c r="L49" s="19"/>
    </row>
    <row r="50" customFormat="false" ht="46.25" hidden="false" customHeight="false" outlineLevel="0" collapsed="false">
      <c r="A50" s="13" t="n">
        <v>49</v>
      </c>
      <c r="B50" s="13" t="s">
        <v>182</v>
      </c>
      <c r="C50" s="14" t="s">
        <v>183</v>
      </c>
      <c r="D50" s="14" t="s">
        <v>190</v>
      </c>
      <c r="E50" s="13" t="s">
        <v>191</v>
      </c>
      <c r="F50" s="15" t="s">
        <v>192</v>
      </c>
      <c r="G50" s="16"/>
      <c r="H50" s="17"/>
      <c r="I50" s="20" t="s">
        <v>193</v>
      </c>
      <c r="J50" s="13"/>
      <c r="K50" s="18" t="str">
        <f aca="false">IF(G50="","To review",IF(AND(G50="Change",H50=""),"Add corrected text",IF(AND(H50&lt;&gt;"",J50&lt;&gt;"",ISERROR(SEARCH(J50,H50))),"Keep "&amp;J50,"")))</f>
        <v>To review</v>
      </c>
      <c r="L50" s="19"/>
    </row>
    <row r="51" customFormat="false" ht="46.25" hidden="false" customHeight="false" outlineLevel="0" collapsed="false">
      <c r="A51" s="13" t="n">
        <v>50</v>
      </c>
      <c r="B51" s="13" t="s">
        <v>182</v>
      </c>
      <c r="C51" s="14" t="s">
        <v>183</v>
      </c>
      <c r="D51" s="14" t="s">
        <v>194</v>
      </c>
      <c r="E51" s="13" t="s">
        <v>195</v>
      </c>
      <c r="F51" s="15" t="s">
        <v>196</v>
      </c>
      <c r="G51" s="16"/>
      <c r="H51" s="17"/>
      <c r="I51" s="16"/>
      <c r="J51" s="13"/>
      <c r="K51" s="18" t="str">
        <f aca="false">IF(G51="","To review",IF(AND(G51="Change",H51=""),"Add corrected text",IF(AND(H51&lt;&gt;"",J51&lt;&gt;"",ISERROR(SEARCH(J51,H51))),"Keep "&amp;J51,"")))</f>
        <v>To review</v>
      </c>
      <c r="L51" s="19"/>
    </row>
    <row r="52" customFormat="false" ht="46.25" hidden="false" customHeight="false" outlineLevel="0" collapsed="false">
      <c r="A52" s="13" t="n">
        <v>51</v>
      </c>
      <c r="B52" s="13" t="s">
        <v>182</v>
      </c>
      <c r="C52" s="14" t="s">
        <v>183</v>
      </c>
      <c r="D52" s="14" t="s">
        <v>197</v>
      </c>
      <c r="E52" s="13" t="s">
        <v>198</v>
      </c>
      <c r="F52" s="15" t="s">
        <v>199</v>
      </c>
      <c r="G52" s="16"/>
      <c r="H52" s="17"/>
      <c r="I52" s="16"/>
      <c r="J52" s="13"/>
      <c r="K52" s="18" t="str">
        <f aca="false">IF(G52="","To review",IF(AND(G52="Change",H52=""),"Add corrected text",IF(AND(H52&lt;&gt;"",J52&lt;&gt;"",ISERROR(SEARCH(J52,H52))),"Keep "&amp;J52,"")))</f>
        <v>To review</v>
      </c>
      <c r="L52" s="19"/>
    </row>
    <row r="53" customFormat="false" ht="46.25" hidden="false" customHeight="false" outlineLevel="0" collapsed="false">
      <c r="A53" s="13" t="n">
        <v>52</v>
      </c>
      <c r="B53" s="13" t="s">
        <v>182</v>
      </c>
      <c r="C53" s="14" t="s">
        <v>183</v>
      </c>
      <c r="D53" s="14" t="s">
        <v>200</v>
      </c>
      <c r="E53" s="13" t="s">
        <v>201</v>
      </c>
      <c r="F53" s="15" t="s">
        <v>202</v>
      </c>
      <c r="G53" s="16"/>
      <c r="H53" s="17"/>
      <c r="I53" s="16"/>
      <c r="J53" s="13"/>
      <c r="K53" s="18" t="str">
        <f aca="false">IF(G53="","To review",IF(AND(G53="Change",H53=""),"Add corrected text",IF(AND(H53&lt;&gt;"",J53&lt;&gt;"",ISERROR(SEARCH(J53,H53))),"Keep "&amp;J53,"")))</f>
        <v>To review</v>
      </c>
      <c r="L53" s="19"/>
    </row>
    <row r="54" customFormat="false" ht="46.25" hidden="false" customHeight="false" outlineLevel="0" collapsed="false">
      <c r="A54" s="13" t="n">
        <v>53</v>
      </c>
      <c r="B54" s="13" t="s">
        <v>182</v>
      </c>
      <c r="C54" s="14" t="s">
        <v>183</v>
      </c>
      <c r="D54" s="14" t="s">
        <v>203</v>
      </c>
      <c r="E54" s="13" t="s">
        <v>204</v>
      </c>
      <c r="F54" s="15" t="s">
        <v>205</v>
      </c>
      <c r="G54" s="16"/>
      <c r="H54" s="17"/>
      <c r="I54" s="16"/>
      <c r="J54" s="13"/>
      <c r="K54" s="18" t="str">
        <f aca="false">IF(G54="","To review",IF(AND(G54="Change",H54=""),"Add corrected text",IF(AND(H54&lt;&gt;"",J54&lt;&gt;"",ISERROR(SEARCH(J54,H54))),"Keep "&amp;J54,"")))</f>
        <v>To review</v>
      </c>
      <c r="L54" s="19"/>
    </row>
    <row r="55" customFormat="false" ht="46.25" hidden="false" customHeight="false" outlineLevel="0" collapsed="false">
      <c r="A55" s="13" t="n">
        <v>54</v>
      </c>
      <c r="B55" s="13" t="s">
        <v>182</v>
      </c>
      <c r="C55" s="14" t="s">
        <v>183</v>
      </c>
      <c r="D55" s="14" t="s">
        <v>206</v>
      </c>
      <c r="E55" s="13" t="s">
        <v>207</v>
      </c>
      <c r="F55" s="15" t="s">
        <v>208</v>
      </c>
      <c r="G55" s="16"/>
      <c r="H55" s="17"/>
      <c r="I55" s="16"/>
      <c r="J55" s="13"/>
      <c r="K55" s="18" t="str">
        <f aca="false">IF(G55="","To review",IF(AND(G55="Change",H55=""),"Add corrected text",IF(AND(H55&lt;&gt;"",J55&lt;&gt;"",ISERROR(SEARCH(J55,H55))),"Keep "&amp;J55,"")))</f>
        <v>To review</v>
      </c>
      <c r="L55" s="19"/>
    </row>
    <row r="56" customFormat="false" ht="46.25" hidden="false" customHeight="false" outlineLevel="0" collapsed="false">
      <c r="A56" s="13" t="n">
        <v>55</v>
      </c>
      <c r="B56" s="13" t="s">
        <v>182</v>
      </c>
      <c r="C56" s="14" t="s">
        <v>183</v>
      </c>
      <c r="D56" s="14" t="s">
        <v>209</v>
      </c>
      <c r="E56" s="13" t="s">
        <v>210</v>
      </c>
      <c r="F56" s="15" t="s">
        <v>211</v>
      </c>
      <c r="G56" s="16"/>
      <c r="H56" s="17"/>
      <c r="I56" s="16"/>
      <c r="J56" s="13"/>
      <c r="K56" s="18" t="str">
        <f aca="false">IF(G56="","To review",IF(AND(G56="Change",H56=""),"Add corrected text",IF(AND(H56&lt;&gt;"",J56&lt;&gt;"",ISERROR(SEARCH(J56,H56))),"Keep "&amp;J56,"")))</f>
        <v>To review</v>
      </c>
      <c r="L56" s="19"/>
    </row>
    <row r="57" customFormat="false" ht="46.25" hidden="false" customHeight="false" outlineLevel="0" collapsed="false">
      <c r="A57" s="13" t="n">
        <v>56</v>
      </c>
      <c r="B57" s="13" t="s">
        <v>182</v>
      </c>
      <c r="C57" s="14" t="s">
        <v>183</v>
      </c>
      <c r="D57" s="14" t="s">
        <v>212</v>
      </c>
      <c r="E57" s="13" t="s">
        <v>213</v>
      </c>
      <c r="F57" s="15" t="s">
        <v>214</v>
      </c>
      <c r="G57" s="16"/>
      <c r="H57" s="17"/>
      <c r="I57" s="16"/>
      <c r="J57" s="13"/>
      <c r="K57" s="18" t="str">
        <f aca="false">IF(G57="","To review",IF(AND(G57="Change",H57=""),"Add corrected text",IF(AND(H57&lt;&gt;"",J57&lt;&gt;"",ISERROR(SEARCH(J57,H57))),"Keep "&amp;J57,"")))</f>
        <v>To review</v>
      </c>
      <c r="L57" s="19"/>
    </row>
    <row r="58" customFormat="false" ht="46.25" hidden="false" customHeight="false" outlineLevel="0" collapsed="false">
      <c r="A58" s="13" t="n">
        <v>57</v>
      </c>
      <c r="B58" s="13" t="s">
        <v>182</v>
      </c>
      <c r="C58" s="14" t="s">
        <v>183</v>
      </c>
      <c r="D58" s="14" t="s">
        <v>215</v>
      </c>
      <c r="E58" s="13" t="s">
        <v>216</v>
      </c>
      <c r="F58" s="15" t="s">
        <v>217</v>
      </c>
      <c r="G58" s="16"/>
      <c r="H58" s="17"/>
      <c r="I58" s="16"/>
      <c r="J58" s="13"/>
      <c r="K58" s="18" t="str">
        <f aca="false">IF(G58="","To review",IF(AND(G58="Change",H58=""),"Add corrected text",IF(AND(H58&lt;&gt;"",J58&lt;&gt;"",ISERROR(SEARCH(J58,H58))),"Keep "&amp;J58,"")))</f>
        <v>To review</v>
      </c>
      <c r="L58" s="19"/>
    </row>
    <row r="59" customFormat="false" ht="46.25" hidden="false" customHeight="false" outlineLevel="0" collapsed="false">
      <c r="A59" s="13" t="n">
        <v>58</v>
      </c>
      <c r="B59" s="13" t="s">
        <v>182</v>
      </c>
      <c r="C59" s="14" t="s">
        <v>183</v>
      </c>
      <c r="D59" s="14" t="s">
        <v>218</v>
      </c>
      <c r="E59" s="13" t="s">
        <v>219</v>
      </c>
      <c r="F59" s="15" t="s">
        <v>220</v>
      </c>
      <c r="G59" s="16"/>
      <c r="H59" s="17"/>
      <c r="I59" s="16"/>
      <c r="J59" s="13"/>
      <c r="K59" s="18" t="str">
        <f aca="false">IF(G59="","To review",IF(AND(G59="Change",H59=""),"Add corrected text",IF(AND(H59&lt;&gt;"",J59&lt;&gt;"",ISERROR(SEARCH(J59,H59))),"Keep "&amp;J59,"")))</f>
        <v>To review</v>
      </c>
      <c r="L59" s="19"/>
    </row>
    <row r="60" customFormat="false" ht="46.25" hidden="false" customHeight="false" outlineLevel="0" collapsed="false">
      <c r="A60" s="13" t="n">
        <v>59</v>
      </c>
      <c r="B60" s="13" t="s">
        <v>182</v>
      </c>
      <c r="C60" s="14" t="s">
        <v>183</v>
      </c>
      <c r="D60" s="14" t="s">
        <v>221</v>
      </c>
      <c r="E60" s="13" t="s">
        <v>222</v>
      </c>
      <c r="F60" s="15" t="s">
        <v>223</v>
      </c>
      <c r="G60" s="16"/>
      <c r="H60" s="17"/>
      <c r="I60" s="16"/>
      <c r="J60" s="13"/>
      <c r="K60" s="18" t="str">
        <f aca="false">IF(G60="","To review",IF(AND(G60="Change",H60=""),"Add corrected text",IF(AND(H60&lt;&gt;"",J60&lt;&gt;"",ISERROR(SEARCH(J60,H60))),"Keep "&amp;J60,"")))</f>
        <v>To review</v>
      </c>
      <c r="L60" s="19"/>
    </row>
    <row r="61" customFormat="false" ht="46.25" hidden="false" customHeight="false" outlineLevel="0" collapsed="false">
      <c r="A61" s="13" t="n">
        <v>60</v>
      </c>
      <c r="B61" s="13" t="s">
        <v>182</v>
      </c>
      <c r="C61" s="14" t="s">
        <v>183</v>
      </c>
      <c r="D61" s="14" t="s">
        <v>224</v>
      </c>
      <c r="E61" s="13" t="s">
        <v>225</v>
      </c>
      <c r="F61" s="15" t="s">
        <v>226</v>
      </c>
      <c r="G61" s="16"/>
      <c r="H61" s="17"/>
      <c r="I61" s="16"/>
      <c r="J61" s="13"/>
      <c r="K61" s="18" t="str">
        <f aca="false">IF(G61="","To review",IF(AND(G61="Change",H61=""),"Add corrected text",IF(AND(H61&lt;&gt;"",J61&lt;&gt;"",ISERROR(SEARCH(J61,H61))),"Keep "&amp;J61,"")))</f>
        <v>To review</v>
      </c>
      <c r="L61" s="19"/>
    </row>
    <row r="62" customFormat="false" ht="46.25" hidden="false" customHeight="false" outlineLevel="0" collapsed="false">
      <c r="A62" s="13" t="n">
        <v>61</v>
      </c>
      <c r="B62" s="13" t="s">
        <v>182</v>
      </c>
      <c r="C62" s="14" t="s">
        <v>183</v>
      </c>
      <c r="D62" s="14" t="s">
        <v>227</v>
      </c>
      <c r="E62" s="13" t="s">
        <v>228</v>
      </c>
      <c r="F62" s="15" t="s">
        <v>229</v>
      </c>
      <c r="G62" s="16"/>
      <c r="H62" s="17"/>
      <c r="I62" s="16"/>
      <c r="J62" s="13"/>
      <c r="K62" s="18" t="str">
        <f aca="false">IF(G62="","To review",IF(AND(G62="Change",H62=""),"Add corrected text",IF(AND(H62&lt;&gt;"",J62&lt;&gt;"",ISERROR(SEARCH(J62,H62))),"Keep "&amp;J62,"")))</f>
        <v>To review</v>
      </c>
      <c r="L62" s="19"/>
    </row>
    <row r="63" customFormat="false" ht="46.25" hidden="false" customHeight="false" outlineLevel="0" collapsed="false">
      <c r="A63" s="13" t="n">
        <v>62</v>
      </c>
      <c r="B63" s="13" t="s">
        <v>182</v>
      </c>
      <c r="C63" s="14" t="s">
        <v>183</v>
      </c>
      <c r="D63" s="14" t="s">
        <v>230</v>
      </c>
      <c r="E63" s="13" t="s">
        <v>231</v>
      </c>
      <c r="F63" s="15" t="s">
        <v>232</v>
      </c>
      <c r="G63" s="16"/>
      <c r="H63" s="17"/>
      <c r="I63" s="16"/>
      <c r="J63" s="13"/>
      <c r="K63" s="18" t="str">
        <f aca="false">IF(G63="","To review",IF(AND(G63="Change",H63=""),"Add corrected text",IF(AND(H63&lt;&gt;"",J63&lt;&gt;"",ISERROR(SEARCH(J63,H63))),"Keep "&amp;J63,"")))</f>
        <v>To review</v>
      </c>
      <c r="L63" s="19"/>
    </row>
    <row r="64" customFormat="false" ht="46.25" hidden="false" customHeight="false" outlineLevel="0" collapsed="false">
      <c r="A64" s="13" t="n">
        <v>63</v>
      </c>
      <c r="B64" s="13" t="s">
        <v>182</v>
      </c>
      <c r="C64" s="14" t="s">
        <v>183</v>
      </c>
      <c r="D64" s="14" t="s">
        <v>233</v>
      </c>
      <c r="E64" s="13" t="s">
        <v>234</v>
      </c>
      <c r="F64" s="15" t="s">
        <v>235</v>
      </c>
      <c r="G64" s="16"/>
      <c r="H64" s="17"/>
      <c r="I64" s="16"/>
      <c r="J64" s="13"/>
      <c r="K64" s="18" t="str">
        <f aca="false">IF(G64="","To review",IF(AND(G64="Change",H64=""),"Add corrected text",IF(AND(H64&lt;&gt;"",J64&lt;&gt;"",ISERROR(SEARCH(J64,H64))),"Keep "&amp;J64,"")))</f>
        <v>To review</v>
      </c>
      <c r="L64" s="19"/>
    </row>
    <row r="65" customFormat="false" ht="46.25" hidden="false" customHeight="false" outlineLevel="0" collapsed="false">
      <c r="A65" s="13" t="n">
        <v>64</v>
      </c>
      <c r="B65" s="13" t="s">
        <v>182</v>
      </c>
      <c r="C65" s="14" t="s">
        <v>183</v>
      </c>
      <c r="D65" s="14" t="s">
        <v>236</v>
      </c>
      <c r="E65" s="13" t="s">
        <v>237</v>
      </c>
      <c r="F65" s="15" t="s">
        <v>238</v>
      </c>
      <c r="G65" s="16"/>
      <c r="H65" s="17"/>
      <c r="I65" s="16"/>
      <c r="J65" s="13"/>
      <c r="K65" s="18" t="str">
        <f aca="false">IF(G65="","To review",IF(AND(G65="Change",H65=""),"Add corrected text",IF(AND(H65&lt;&gt;"",J65&lt;&gt;"",ISERROR(SEARCH(J65,H65))),"Keep "&amp;J65,"")))</f>
        <v>To review</v>
      </c>
      <c r="L65" s="19"/>
    </row>
    <row r="66" customFormat="false" ht="46.25" hidden="false" customHeight="false" outlineLevel="0" collapsed="false">
      <c r="A66" s="13" t="n">
        <v>65</v>
      </c>
      <c r="B66" s="13" t="s">
        <v>219</v>
      </c>
      <c r="C66" s="14" t="s">
        <v>183</v>
      </c>
      <c r="D66" s="14" t="s">
        <v>239</v>
      </c>
      <c r="E66" s="13" t="s">
        <v>240</v>
      </c>
      <c r="F66" s="15" t="s">
        <v>241</v>
      </c>
      <c r="G66" s="16"/>
      <c r="H66" s="17"/>
      <c r="I66" s="16"/>
      <c r="J66" s="13"/>
      <c r="K66" s="18" t="str">
        <f aca="false">IF(G66="","To review",IF(AND(G66="Change",H66=""),"Add corrected text",IF(AND(H66&lt;&gt;"",J66&lt;&gt;"",ISERROR(SEARCH(J66,H66))),"Keep "&amp;J66,"")))</f>
        <v>To review</v>
      </c>
      <c r="L66" s="19"/>
    </row>
    <row r="67" customFormat="false" ht="46.25" hidden="false" customHeight="false" outlineLevel="0" collapsed="false">
      <c r="A67" s="13" t="n">
        <v>66</v>
      </c>
      <c r="B67" s="13" t="s">
        <v>219</v>
      </c>
      <c r="C67" s="14" t="s">
        <v>183</v>
      </c>
      <c r="D67" s="14" t="s">
        <v>242</v>
      </c>
      <c r="E67" s="13" t="s">
        <v>243</v>
      </c>
      <c r="F67" s="15" t="s">
        <v>244</v>
      </c>
      <c r="G67" s="16"/>
      <c r="H67" s="17"/>
      <c r="I67" s="16"/>
      <c r="J67" s="13"/>
      <c r="K67" s="18" t="str">
        <f aca="false">IF(G67="","To review",IF(AND(G67="Change",H67=""),"Add corrected text",IF(AND(H67&lt;&gt;"",J67&lt;&gt;"",ISERROR(SEARCH(J67,H67))),"Keep "&amp;J67,"")))</f>
        <v>To review</v>
      </c>
      <c r="L67" s="19"/>
    </row>
    <row r="68" customFormat="false" ht="46.25" hidden="false" customHeight="false" outlineLevel="0" collapsed="false">
      <c r="A68" s="13" t="n">
        <v>67</v>
      </c>
      <c r="B68" s="13" t="s">
        <v>219</v>
      </c>
      <c r="C68" s="14" t="s">
        <v>183</v>
      </c>
      <c r="D68" s="14" t="s">
        <v>245</v>
      </c>
      <c r="E68" s="13" t="s">
        <v>246</v>
      </c>
      <c r="F68" s="15" t="s">
        <v>247</v>
      </c>
      <c r="G68" s="16"/>
      <c r="H68" s="17"/>
      <c r="I68" s="16"/>
      <c r="J68" s="13"/>
      <c r="K68" s="18" t="str">
        <f aca="false">IF(G68="","To review",IF(AND(G68="Change",H68=""),"Add corrected text",IF(AND(H68&lt;&gt;"",J68&lt;&gt;"",ISERROR(SEARCH(J68,H68))),"Keep "&amp;J68,"")))</f>
        <v>To review</v>
      </c>
      <c r="L68" s="19"/>
    </row>
    <row r="69" customFormat="false" ht="46.25" hidden="false" customHeight="false" outlineLevel="0" collapsed="false">
      <c r="A69" s="13" t="n">
        <v>68</v>
      </c>
      <c r="B69" s="13" t="s">
        <v>219</v>
      </c>
      <c r="C69" s="14" t="s">
        <v>183</v>
      </c>
      <c r="D69" s="14" t="s">
        <v>248</v>
      </c>
      <c r="E69" s="13" t="s">
        <v>249</v>
      </c>
      <c r="F69" s="15" t="s">
        <v>250</v>
      </c>
      <c r="G69" s="16"/>
      <c r="H69" s="17"/>
      <c r="I69" s="16"/>
      <c r="J69" s="13"/>
      <c r="K69" s="18" t="str">
        <f aca="false">IF(G69="","To review",IF(AND(G69="Change",H69=""),"Add corrected text",IF(AND(H69&lt;&gt;"",J69&lt;&gt;"",ISERROR(SEARCH(J69,H69))),"Keep "&amp;J69,"")))</f>
        <v>To review</v>
      </c>
      <c r="L69" s="19"/>
    </row>
    <row r="70" customFormat="false" ht="46.25" hidden="false" customHeight="false" outlineLevel="0" collapsed="false">
      <c r="A70" s="13" t="n">
        <v>69</v>
      </c>
      <c r="B70" s="13" t="s">
        <v>219</v>
      </c>
      <c r="C70" s="14" t="s">
        <v>183</v>
      </c>
      <c r="D70" s="14" t="s">
        <v>251</v>
      </c>
      <c r="E70" s="13" t="s">
        <v>252</v>
      </c>
      <c r="F70" s="15" t="s">
        <v>253</v>
      </c>
      <c r="G70" s="16"/>
      <c r="H70" s="17"/>
      <c r="I70" s="16"/>
      <c r="J70" s="13"/>
      <c r="K70" s="18" t="str">
        <f aca="false">IF(G70="","To review",IF(AND(G70="Change",H70=""),"Add corrected text",IF(AND(H70&lt;&gt;"",J70&lt;&gt;"",ISERROR(SEARCH(J70,H70))),"Keep "&amp;J70,"")))</f>
        <v>To review</v>
      </c>
      <c r="L70" s="19"/>
    </row>
    <row r="71" customFormat="false" ht="46.25" hidden="false" customHeight="false" outlineLevel="0" collapsed="false">
      <c r="A71" s="13" t="n">
        <v>70</v>
      </c>
      <c r="B71" s="13" t="s">
        <v>219</v>
      </c>
      <c r="C71" s="14" t="s">
        <v>183</v>
      </c>
      <c r="D71" s="14" t="s">
        <v>254</v>
      </c>
      <c r="E71" s="13" t="s">
        <v>255</v>
      </c>
      <c r="F71" s="15" t="s">
        <v>256</v>
      </c>
      <c r="G71" s="16"/>
      <c r="H71" s="17"/>
      <c r="I71" s="16"/>
      <c r="J71" s="13"/>
      <c r="K71" s="18" t="str">
        <f aca="false">IF(G71="","To review",IF(AND(G71="Change",H71=""),"Add corrected text",IF(AND(H71&lt;&gt;"",J71&lt;&gt;"",ISERROR(SEARCH(J71,H71))),"Keep "&amp;J71,"")))</f>
        <v>To review</v>
      </c>
      <c r="L71" s="19"/>
    </row>
    <row r="72" customFormat="false" ht="46.25" hidden="false" customHeight="false" outlineLevel="0" collapsed="false">
      <c r="A72" s="13" t="n">
        <v>71</v>
      </c>
      <c r="B72" s="13" t="s">
        <v>219</v>
      </c>
      <c r="C72" s="14" t="s">
        <v>183</v>
      </c>
      <c r="D72" s="14" t="s">
        <v>257</v>
      </c>
      <c r="E72" s="13" t="s">
        <v>258</v>
      </c>
      <c r="F72" s="15" t="s">
        <v>259</v>
      </c>
      <c r="G72" s="16"/>
      <c r="H72" s="17"/>
      <c r="I72" s="16"/>
      <c r="J72" s="13"/>
      <c r="K72" s="18" t="str">
        <f aca="false">IF(G72="","To review",IF(AND(G72="Change",H72=""),"Add corrected text",IF(AND(H72&lt;&gt;"",J72&lt;&gt;"",ISERROR(SEARCH(J72,H72))),"Keep "&amp;J72,"")))</f>
        <v>To review</v>
      </c>
      <c r="L72" s="19"/>
    </row>
    <row r="73" customFormat="false" ht="46.25" hidden="false" customHeight="false" outlineLevel="0" collapsed="false">
      <c r="A73" s="13" t="n">
        <v>72</v>
      </c>
      <c r="B73" s="13" t="s">
        <v>219</v>
      </c>
      <c r="C73" s="14" t="s">
        <v>183</v>
      </c>
      <c r="D73" s="14" t="s">
        <v>260</v>
      </c>
      <c r="E73" s="13" t="s">
        <v>261</v>
      </c>
      <c r="F73" s="15" t="s">
        <v>262</v>
      </c>
      <c r="G73" s="16"/>
      <c r="H73" s="17"/>
      <c r="I73" s="20" t="s">
        <v>263</v>
      </c>
      <c r="J73" s="13" t="s">
        <v>264</v>
      </c>
      <c r="K73" s="18" t="str">
        <f aca="false">IF(G73="","To review",IF(AND(G73="Change",H73=""),"Add corrected text",IF(AND(H73&lt;&gt;"",J73&lt;&gt;"",ISERROR(SEARCH(J73,H73))),"Keep "&amp;J73,"")))</f>
        <v>To review</v>
      </c>
      <c r="L73" s="19"/>
    </row>
    <row r="74" customFormat="false" ht="46.25" hidden="false" customHeight="false" outlineLevel="0" collapsed="false">
      <c r="A74" s="13" t="n">
        <v>73</v>
      </c>
      <c r="B74" s="13" t="s">
        <v>219</v>
      </c>
      <c r="C74" s="14" t="s">
        <v>183</v>
      </c>
      <c r="D74" s="14" t="s">
        <v>265</v>
      </c>
      <c r="E74" s="13" t="s">
        <v>266</v>
      </c>
      <c r="F74" s="15" t="s">
        <v>267</v>
      </c>
      <c r="G74" s="16"/>
      <c r="H74" s="17"/>
      <c r="I74" s="20" t="s">
        <v>268</v>
      </c>
      <c r="J74" s="13" t="s">
        <v>269</v>
      </c>
      <c r="K74" s="18" t="str">
        <f aca="false">IF(G74="","To review",IF(AND(G74="Change",H74=""),"Add corrected text",IF(AND(H74&lt;&gt;"",J74&lt;&gt;"",ISERROR(SEARCH(J74,H74))),"Keep "&amp;J74,"")))</f>
        <v>To review</v>
      </c>
      <c r="L74" s="19"/>
    </row>
    <row r="75" customFormat="false" ht="46.25" hidden="false" customHeight="false" outlineLevel="0" collapsed="false">
      <c r="A75" s="13" t="n">
        <v>74</v>
      </c>
      <c r="B75" s="13" t="s">
        <v>270</v>
      </c>
      <c r="C75" s="14" t="s">
        <v>271</v>
      </c>
      <c r="D75" s="14" t="s">
        <v>272</v>
      </c>
      <c r="E75" s="13" t="s">
        <v>273</v>
      </c>
      <c r="F75" s="15" t="s">
        <v>274</v>
      </c>
      <c r="G75" s="16"/>
      <c r="H75" s="17"/>
      <c r="I75" s="16"/>
      <c r="J75" s="13"/>
      <c r="K75" s="18" t="str">
        <f aca="false">IF(G75="","To review",IF(AND(G75="Change",H75=""),"Add corrected text",IF(AND(H75&lt;&gt;"",J75&lt;&gt;"",ISERROR(SEARCH(J75,H75))),"Keep "&amp;J75,"")))</f>
        <v>To review</v>
      </c>
      <c r="L75" s="19"/>
    </row>
    <row r="76" customFormat="false" ht="46.25" hidden="false" customHeight="false" outlineLevel="0" collapsed="false">
      <c r="A76" s="13" t="n">
        <v>75</v>
      </c>
      <c r="B76" s="13" t="s">
        <v>270</v>
      </c>
      <c r="C76" s="14" t="s">
        <v>271</v>
      </c>
      <c r="D76" s="14" t="s">
        <v>275</v>
      </c>
      <c r="E76" s="13" t="s">
        <v>276</v>
      </c>
      <c r="F76" s="15" t="s">
        <v>277</v>
      </c>
      <c r="G76" s="16"/>
      <c r="H76" s="17"/>
      <c r="I76" s="16"/>
      <c r="J76" s="13"/>
      <c r="K76" s="18" t="str">
        <f aca="false">IF(G76="","To review",IF(AND(G76="Change",H76=""),"Add corrected text",IF(AND(H76&lt;&gt;"",J76&lt;&gt;"",ISERROR(SEARCH(J76,H76))),"Keep "&amp;J76,"")))</f>
        <v>To review</v>
      </c>
      <c r="L76" s="19"/>
    </row>
    <row r="77" customFormat="false" ht="46.25" hidden="false" customHeight="false" outlineLevel="0" collapsed="false">
      <c r="A77" s="13" t="n">
        <v>76</v>
      </c>
      <c r="B77" s="13" t="s">
        <v>270</v>
      </c>
      <c r="C77" s="14" t="s">
        <v>271</v>
      </c>
      <c r="D77" s="14" t="s">
        <v>278</v>
      </c>
      <c r="E77" s="13" t="s">
        <v>279</v>
      </c>
      <c r="F77" s="15" t="s">
        <v>280</v>
      </c>
      <c r="G77" s="16"/>
      <c r="H77" s="17"/>
      <c r="I77" s="16"/>
      <c r="J77" s="13"/>
      <c r="K77" s="18" t="str">
        <f aca="false">IF(G77="","To review",IF(AND(G77="Change",H77=""),"Add corrected text",IF(AND(H77&lt;&gt;"",J77&lt;&gt;"",ISERROR(SEARCH(J77,H77))),"Keep "&amp;J77,"")))</f>
        <v>To review</v>
      </c>
      <c r="L77" s="19"/>
    </row>
    <row r="78" customFormat="false" ht="46.25" hidden="false" customHeight="false" outlineLevel="0" collapsed="false">
      <c r="A78" s="13" t="n">
        <v>77</v>
      </c>
      <c r="B78" s="13" t="s">
        <v>270</v>
      </c>
      <c r="C78" s="14" t="s">
        <v>271</v>
      </c>
      <c r="D78" s="14" t="s">
        <v>281</v>
      </c>
      <c r="E78" s="13" t="s">
        <v>282</v>
      </c>
      <c r="F78" s="15" t="s">
        <v>283</v>
      </c>
      <c r="G78" s="16"/>
      <c r="H78" s="17"/>
      <c r="I78" s="16"/>
      <c r="J78" s="13"/>
      <c r="K78" s="18" t="str">
        <f aca="false">IF(G78="","To review",IF(AND(G78="Change",H78=""),"Add corrected text",IF(AND(H78&lt;&gt;"",J78&lt;&gt;"",ISERROR(SEARCH(J78,H78))),"Keep "&amp;J78,"")))</f>
        <v>To review</v>
      </c>
      <c r="L78" s="19"/>
    </row>
    <row r="79" customFormat="false" ht="46.25" hidden="false" customHeight="false" outlineLevel="0" collapsed="false">
      <c r="A79" s="13" t="n">
        <v>78</v>
      </c>
      <c r="B79" s="13" t="s">
        <v>270</v>
      </c>
      <c r="C79" s="14" t="s">
        <v>271</v>
      </c>
      <c r="D79" s="14" t="s">
        <v>284</v>
      </c>
      <c r="E79" s="13" t="s">
        <v>285</v>
      </c>
      <c r="F79" s="15" t="s">
        <v>286</v>
      </c>
      <c r="G79" s="16"/>
      <c r="H79" s="17"/>
      <c r="I79" s="16"/>
      <c r="J79" s="13"/>
      <c r="K79" s="18" t="str">
        <f aca="false">IF(G79="","To review",IF(AND(G79="Change",H79=""),"Add corrected text",IF(AND(H79&lt;&gt;"",J79&lt;&gt;"",ISERROR(SEARCH(J79,H79))),"Keep "&amp;J79,"")))</f>
        <v>To review</v>
      </c>
      <c r="L79" s="19"/>
    </row>
    <row r="80" customFormat="false" ht="46.25" hidden="false" customHeight="false" outlineLevel="0" collapsed="false">
      <c r="A80" s="13" t="n">
        <v>79</v>
      </c>
      <c r="B80" s="13" t="s">
        <v>270</v>
      </c>
      <c r="C80" s="14" t="s">
        <v>271</v>
      </c>
      <c r="D80" s="14" t="s">
        <v>287</v>
      </c>
      <c r="E80" s="13" t="s">
        <v>288</v>
      </c>
      <c r="F80" s="15" t="s">
        <v>289</v>
      </c>
      <c r="G80" s="16"/>
      <c r="H80" s="17"/>
      <c r="I80" s="16"/>
      <c r="J80" s="13"/>
      <c r="K80" s="18" t="str">
        <f aca="false">IF(G80="","To review",IF(AND(G80="Change",H80=""),"Add corrected text",IF(AND(H80&lt;&gt;"",J80&lt;&gt;"",ISERROR(SEARCH(J80,H80))),"Keep "&amp;J80,"")))</f>
        <v>To review</v>
      </c>
      <c r="L80" s="19"/>
    </row>
    <row r="81" customFormat="false" ht="46.25" hidden="false" customHeight="false" outlineLevel="0" collapsed="false">
      <c r="A81" s="13" t="n">
        <v>80</v>
      </c>
      <c r="B81" s="13" t="s">
        <v>270</v>
      </c>
      <c r="C81" s="14" t="s">
        <v>271</v>
      </c>
      <c r="D81" s="14" t="s">
        <v>290</v>
      </c>
      <c r="E81" s="13" t="s">
        <v>291</v>
      </c>
      <c r="F81" s="15" t="s">
        <v>292</v>
      </c>
      <c r="G81" s="16"/>
      <c r="H81" s="17"/>
      <c r="I81" s="16"/>
      <c r="J81" s="13"/>
      <c r="K81" s="18" t="str">
        <f aca="false">IF(G81="","To review",IF(AND(G81="Change",H81=""),"Add corrected text",IF(AND(H81&lt;&gt;"",J81&lt;&gt;"",ISERROR(SEARCH(J81,H81))),"Keep "&amp;J81,"")))</f>
        <v>To review</v>
      </c>
      <c r="L81" s="19"/>
    </row>
    <row r="82" customFormat="false" ht="46.25" hidden="false" customHeight="false" outlineLevel="0" collapsed="false">
      <c r="A82" s="13" t="n">
        <v>81</v>
      </c>
      <c r="B82" s="13" t="s">
        <v>270</v>
      </c>
      <c r="C82" s="14" t="s">
        <v>271</v>
      </c>
      <c r="D82" s="14" t="s">
        <v>293</v>
      </c>
      <c r="E82" s="13" t="s">
        <v>294</v>
      </c>
      <c r="F82" s="15" t="s">
        <v>295</v>
      </c>
      <c r="G82" s="16"/>
      <c r="H82" s="17"/>
      <c r="I82" s="16"/>
      <c r="J82" s="13"/>
      <c r="K82" s="18" t="str">
        <f aca="false">IF(G82="","To review",IF(AND(G82="Change",H82=""),"Add corrected text",IF(AND(H82&lt;&gt;"",J82&lt;&gt;"",ISERROR(SEARCH(J82,H82))),"Keep "&amp;J82,"")))</f>
        <v>To review</v>
      </c>
      <c r="L82" s="19"/>
    </row>
    <row r="83" customFormat="false" ht="46.25" hidden="false" customHeight="false" outlineLevel="0" collapsed="false">
      <c r="A83" s="13" t="n">
        <v>82</v>
      </c>
      <c r="B83" s="13" t="s">
        <v>270</v>
      </c>
      <c r="C83" s="14" t="s">
        <v>271</v>
      </c>
      <c r="D83" s="14" t="s">
        <v>296</v>
      </c>
      <c r="E83" s="13" t="s">
        <v>297</v>
      </c>
      <c r="F83" s="15" t="s">
        <v>298</v>
      </c>
      <c r="G83" s="16"/>
      <c r="H83" s="17"/>
      <c r="I83" s="16"/>
      <c r="J83" s="13"/>
      <c r="K83" s="18" t="str">
        <f aca="false">IF(G83="","To review",IF(AND(G83="Change",H83=""),"Add corrected text",IF(AND(H83&lt;&gt;"",J83&lt;&gt;"",ISERROR(SEARCH(J83,H83))),"Keep "&amp;J83,"")))</f>
        <v>To review</v>
      </c>
      <c r="L83" s="19"/>
    </row>
    <row r="84" customFormat="false" ht="46.25" hidden="false" customHeight="false" outlineLevel="0" collapsed="false">
      <c r="A84" s="13" t="n">
        <v>83</v>
      </c>
      <c r="B84" s="13" t="s">
        <v>270</v>
      </c>
      <c r="C84" s="14" t="s">
        <v>271</v>
      </c>
      <c r="D84" s="14" t="s">
        <v>299</v>
      </c>
      <c r="E84" s="13" t="s">
        <v>300</v>
      </c>
      <c r="F84" s="15" t="s">
        <v>301</v>
      </c>
      <c r="G84" s="16"/>
      <c r="H84" s="17"/>
      <c r="I84" s="16"/>
      <c r="J84" s="13"/>
      <c r="K84" s="18" t="str">
        <f aca="false">IF(G84="","To review",IF(AND(G84="Change",H84=""),"Add corrected text",IF(AND(H84&lt;&gt;"",J84&lt;&gt;"",ISERROR(SEARCH(J84,H84))),"Keep "&amp;J84,"")))</f>
        <v>To review</v>
      </c>
      <c r="L84" s="19"/>
    </row>
    <row r="85" customFormat="false" ht="46.25" hidden="false" customHeight="false" outlineLevel="0" collapsed="false">
      <c r="A85" s="13" t="n">
        <v>84</v>
      </c>
      <c r="B85" s="13" t="s">
        <v>270</v>
      </c>
      <c r="C85" s="14" t="s">
        <v>271</v>
      </c>
      <c r="D85" s="14" t="s">
        <v>302</v>
      </c>
      <c r="E85" s="13" t="s">
        <v>270</v>
      </c>
      <c r="F85" s="15" t="s">
        <v>303</v>
      </c>
      <c r="G85" s="16"/>
      <c r="H85" s="17"/>
      <c r="I85" s="16"/>
      <c r="J85" s="13"/>
      <c r="K85" s="18" t="str">
        <f aca="false">IF(G85="","To review",IF(AND(G85="Change",H85=""),"Add corrected text",IF(AND(H85&lt;&gt;"",J85&lt;&gt;"",ISERROR(SEARCH(J85,H85))),"Keep "&amp;J85,"")))</f>
        <v>To review</v>
      </c>
      <c r="L85" s="19"/>
    </row>
    <row r="86" customFormat="false" ht="46.25" hidden="false" customHeight="false" outlineLevel="0" collapsed="false">
      <c r="A86" s="13" t="n">
        <v>85</v>
      </c>
      <c r="B86" s="13" t="s">
        <v>270</v>
      </c>
      <c r="C86" s="14" t="s">
        <v>271</v>
      </c>
      <c r="D86" s="14" t="s">
        <v>304</v>
      </c>
      <c r="E86" s="13" t="s">
        <v>305</v>
      </c>
      <c r="F86" s="15" t="s">
        <v>306</v>
      </c>
      <c r="G86" s="16"/>
      <c r="H86" s="17"/>
      <c r="I86" s="16"/>
      <c r="J86" s="13"/>
      <c r="K86" s="18" t="str">
        <f aca="false">IF(G86="","To review",IF(AND(G86="Change",H86=""),"Add corrected text",IF(AND(H86&lt;&gt;"",J86&lt;&gt;"",ISERROR(SEARCH(J86,H86))),"Keep "&amp;J86,"")))</f>
        <v>To review</v>
      </c>
      <c r="L86" s="19"/>
    </row>
    <row r="87" customFormat="false" ht="46.25" hidden="false" customHeight="false" outlineLevel="0" collapsed="false">
      <c r="A87" s="13" t="n">
        <v>86</v>
      </c>
      <c r="B87" s="13" t="s">
        <v>270</v>
      </c>
      <c r="C87" s="14" t="s">
        <v>271</v>
      </c>
      <c r="D87" s="14" t="s">
        <v>307</v>
      </c>
      <c r="E87" s="13" t="s">
        <v>308</v>
      </c>
      <c r="F87" s="15" t="s">
        <v>309</v>
      </c>
      <c r="G87" s="16"/>
      <c r="H87" s="17"/>
      <c r="I87" s="16"/>
      <c r="J87" s="13"/>
      <c r="K87" s="18" t="str">
        <f aca="false">IF(G87="","To review",IF(AND(G87="Change",H87=""),"Add corrected text",IF(AND(H87&lt;&gt;"",J87&lt;&gt;"",ISERROR(SEARCH(J87,H87))),"Keep "&amp;J87,"")))</f>
        <v>To review</v>
      </c>
      <c r="L87" s="19"/>
    </row>
    <row r="88" customFormat="false" ht="46.25" hidden="false" customHeight="false" outlineLevel="0" collapsed="false">
      <c r="A88" s="13" t="n">
        <v>87</v>
      </c>
      <c r="B88" s="13" t="s">
        <v>270</v>
      </c>
      <c r="C88" s="14" t="s">
        <v>271</v>
      </c>
      <c r="D88" s="14" t="s">
        <v>310</v>
      </c>
      <c r="E88" s="13" t="s">
        <v>311</v>
      </c>
      <c r="F88" s="15" t="s">
        <v>312</v>
      </c>
      <c r="G88" s="16"/>
      <c r="H88" s="17"/>
      <c r="I88" s="16"/>
      <c r="J88" s="13"/>
      <c r="K88" s="18" t="str">
        <f aca="false">IF(G88="","To review",IF(AND(G88="Change",H88=""),"Add corrected text",IF(AND(H88&lt;&gt;"",J88&lt;&gt;"",ISERROR(SEARCH(J88,H88))),"Keep "&amp;J88,"")))</f>
        <v>To review</v>
      </c>
      <c r="L88" s="19"/>
    </row>
    <row r="89" customFormat="false" ht="46.25" hidden="false" customHeight="false" outlineLevel="0" collapsed="false">
      <c r="A89" s="13" t="n">
        <v>88</v>
      </c>
      <c r="B89" s="13" t="s">
        <v>270</v>
      </c>
      <c r="C89" s="14" t="s">
        <v>271</v>
      </c>
      <c r="D89" s="14" t="s">
        <v>313</v>
      </c>
      <c r="E89" s="13" t="s">
        <v>314</v>
      </c>
      <c r="F89" s="15" t="s">
        <v>315</v>
      </c>
      <c r="G89" s="16"/>
      <c r="H89" s="17"/>
      <c r="I89" s="16"/>
      <c r="J89" s="13"/>
      <c r="K89" s="18" t="str">
        <f aca="false">IF(G89="","To review",IF(AND(G89="Change",H89=""),"Add corrected text",IF(AND(H89&lt;&gt;"",J89&lt;&gt;"",ISERROR(SEARCH(J89,H89))),"Keep "&amp;J89,"")))</f>
        <v>To review</v>
      </c>
      <c r="L89" s="19"/>
    </row>
    <row r="90" customFormat="false" ht="46.25" hidden="false" customHeight="false" outlineLevel="0" collapsed="false">
      <c r="A90" s="13" t="n">
        <v>89</v>
      </c>
      <c r="B90" s="13" t="s">
        <v>270</v>
      </c>
      <c r="C90" s="14" t="s">
        <v>271</v>
      </c>
      <c r="D90" s="14" t="s">
        <v>316</v>
      </c>
      <c r="E90" s="13" t="s">
        <v>317</v>
      </c>
      <c r="F90" s="15" t="s">
        <v>318</v>
      </c>
      <c r="G90" s="16"/>
      <c r="H90" s="17"/>
      <c r="I90" s="16"/>
      <c r="J90" s="13"/>
      <c r="K90" s="18" t="str">
        <f aca="false">IF(G90="","To review",IF(AND(G90="Change",H90=""),"Add corrected text",IF(AND(H90&lt;&gt;"",J90&lt;&gt;"",ISERROR(SEARCH(J90,H90))),"Keep "&amp;J90,"")))</f>
        <v>To review</v>
      </c>
      <c r="L90" s="19"/>
    </row>
    <row r="91" customFormat="false" ht="46.25" hidden="false" customHeight="false" outlineLevel="0" collapsed="false">
      <c r="A91" s="13" t="n">
        <v>90</v>
      </c>
      <c r="B91" s="13" t="s">
        <v>270</v>
      </c>
      <c r="C91" s="14" t="s">
        <v>271</v>
      </c>
      <c r="D91" s="14" t="s">
        <v>319</v>
      </c>
      <c r="E91" s="13" t="s">
        <v>320</v>
      </c>
      <c r="F91" s="15" t="s">
        <v>321</v>
      </c>
      <c r="G91" s="16"/>
      <c r="H91" s="17"/>
      <c r="I91" s="16"/>
      <c r="J91" s="13"/>
      <c r="K91" s="18" t="str">
        <f aca="false">IF(G91="","To review",IF(AND(G91="Change",H91=""),"Add corrected text",IF(AND(H91&lt;&gt;"",J91&lt;&gt;"",ISERROR(SEARCH(J91,H91))),"Keep "&amp;J91,"")))</f>
        <v>To review</v>
      </c>
      <c r="L91" s="19"/>
    </row>
    <row r="92" customFormat="false" ht="46.25" hidden="false" customHeight="false" outlineLevel="0" collapsed="false">
      <c r="A92" s="13" t="n">
        <v>91</v>
      </c>
      <c r="B92" s="13" t="s">
        <v>270</v>
      </c>
      <c r="C92" s="14" t="s">
        <v>271</v>
      </c>
      <c r="D92" s="14" t="s">
        <v>322</v>
      </c>
      <c r="E92" s="13" t="s">
        <v>323</v>
      </c>
      <c r="F92" s="15" t="s">
        <v>324</v>
      </c>
      <c r="G92" s="16"/>
      <c r="H92" s="17"/>
      <c r="I92" s="16"/>
      <c r="J92" s="13"/>
      <c r="K92" s="18" t="str">
        <f aca="false">IF(G92="","To review",IF(AND(G92="Change",H92=""),"Add corrected text",IF(AND(H92&lt;&gt;"",J92&lt;&gt;"",ISERROR(SEARCH(J92,H92))),"Keep "&amp;J92,"")))</f>
        <v>To review</v>
      </c>
      <c r="L92" s="19"/>
    </row>
    <row r="93" customFormat="false" ht="46.25" hidden="false" customHeight="false" outlineLevel="0" collapsed="false">
      <c r="A93" s="13" t="n">
        <v>92</v>
      </c>
      <c r="B93" s="13" t="s">
        <v>270</v>
      </c>
      <c r="C93" s="14" t="s">
        <v>271</v>
      </c>
      <c r="D93" s="14" t="s">
        <v>325</v>
      </c>
      <c r="E93" s="13" t="s">
        <v>326</v>
      </c>
      <c r="F93" s="15" t="s">
        <v>61</v>
      </c>
      <c r="G93" s="16"/>
      <c r="H93" s="17"/>
      <c r="I93" s="16"/>
      <c r="J93" s="13"/>
      <c r="K93" s="18" t="str">
        <f aca="false">IF(G93="","To review",IF(AND(G93="Change",H93=""),"Add corrected text",IF(AND(H93&lt;&gt;"",J93&lt;&gt;"",ISERROR(SEARCH(J93,H93))),"Keep "&amp;J93,"")))</f>
        <v>To review</v>
      </c>
      <c r="L93" s="19"/>
    </row>
    <row r="94" customFormat="false" ht="46.25" hidden="false" customHeight="false" outlineLevel="0" collapsed="false">
      <c r="A94" s="13" t="n">
        <v>93</v>
      </c>
      <c r="B94" s="13" t="s">
        <v>270</v>
      </c>
      <c r="C94" s="14" t="s">
        <v>271</v>
      </c>
      <c r="D94" s="14" t="s">
        <v>327</v>
      </c>
      <c r="E94" s="13" t="s">
        <v>18</v>
      </c>
      <c r="F94" s="15" t="s">
        <v>328</v>
      </c>
      <c r="G94" s="16"/>
      <c r="H94" s="17"/>
      <c r="I94" s="16"/>
      <c r="J94" s="13"/>
      <c r="K94" s="18" t="str">
        <f aca="false">IF(G94="","To review",IF(AND(G94="Change",H94=""),"Add corrected text",IF(AND(H94&lt;&gt;"",J94&lt;&gt;"",ISERROR(SEARCH(J94,H94))),"Keep "&amp;J94,"")))</f>
        <v>To review</v>
      </c>
      <c r="L94" s="19"/>
    </row>
    <row r="95" customFormat="false" ht="46.25" hidden="false" customHeight="false" outlineLevel="0" collapsed="false">
      <c r="A95" s="13" t="n">
        <v>94</v>
      </c>
      <c r="B95" s="13" t="s">
        <v>237</v>
      </c>
      <c r="C95" s="14" t="s">
        <v>329</v>
      </c>
      <c r="D95" s="14" t="s">
        <v>330</v>
      </c>
      <c r="E95" s="13" t="s">
        <v>331</v>
      </c>
      <c r="F95" s="15" t="s">
        <v>332</v>
      </c>
      <c r="G95" s="16"/>
      <c r="H95" s="17"/>
      <c r="I95" s="16"/>
      <c r="J95" s="13"/>
      <c r="K95" s="18" t="str">
        <f aca="false">IF(G95="","To review",IF(AND(G95="Change",H95=""),"Add corrected text",IF(AND(H95&lt;&gt;"",J95&lt;&gt;"",ISERROR(SEARCH(J95,H95))),"Keep "&amp;J95,"")))</f>
        <v>To review</v>
      </c>
      <c r="L95" s="19"/>
    </row>
    <row r="96" customFormat="false" ht="46.25" hidden="false" customHeight="false" outlineLevel="0" collapsed="false">
      <c r="A96" s="13" t="n">
        <v>95</v>
      </c>
      <c r="B96" s="13" t="s">
        <v>237</v>
      </c>
      <c r="C96" s="14" t="s">
        <v>329</v>
      </c>
      <c r="D96" s="14" t="s">
        <v>333</v>
      </c>
      <c r="E96" s="13" t="s">
        <v>334</v>
      </c>
      <c r="F96" s="15" t="s">
        <v>335</v>
      </c>
      <c r="G96" s="16"/>
      <c r="H96" s="17"/>
      <c r="I96" s="20" t="s">
        <v>336</v>
      </c>
      <c r="J96" s="13"/>
      <c r="K96" s="18" t="str">
        <f aca="false">IF(G96="","To review",IF(AND(G96="Change",H96=""),"Add corrected text",IF(AND(H96&lt;&gt;"",J96&lt;&gt;"",ISERROR(SEARCH(J96,H96))),"Keep "&amp;J96,"")))</f>
        <v>To review</v>
      </c>
      <c r="L96" s="19"/>
    </row>
    <row r="97" customFormat="false" ht="46.25" hidden="false" customHeight="false" outlineLevel="0" collapsed="false">
      <c r="A97" s="13" t="n">
        <v>96</v>
      </c>
      <c r="B97" s="13" t="s">
        <v>237</v>
      </c>
      <c r="C97" s="14" t="s">
        <v>329</v>
      </c>
      <c r="D97" s="14" t="s">
        <v>337</v>
      </c>
      <c r="E97" s="13" t="s">
        <v>338</v>
      </c>
      <c r="F97" s="15" t="s">
        <v>339</v>
      </c>
      <c r="G97" s="16"/>
      <c r="H97" s="17"/>
      <c r="I97" s="16"/>
      <c r="J97" s="13"/>
      <c r="K97" s="18" t="str">
        <f aca="false">IF(G97="","To review",IF(AND(G97="Change",H97=""),"Add corrected text",IF(AND(H97&lt;&gt;"",J97&lt;&gt;"",ISERROR(SEARCH(J97,H97))),"Keep "&amp;J97,"")))</f>
        <v>To review</v>
      </c>
      <c r="L97" s="19"/>
    </row>
    <row r="98" customFormat="false" ht="46.25" hidden="false" customHeight="false" outlineLevel="0" collapsed="false">
      <c r="A98" s="13" t="n">
        <v>97</v>
      </c>
      <c r="B98" s="13" t="s">
        <v>237</v>
      </c>
      <c r="C98" s="14" t="s">
        <v>329</v>
      </c>
      <c r="D98" s="14" t="s">
        <v>340</v>
      </c>
      <c r="E98" s="13" t="s">
        <v>341</v>
      </c>
      <c r="F98" s="15" t="s">
        <v>342</v>
      </c>
      <c r="G98" s="16"/>
      <c r="H98" s="17"/>
      <c r="I98" s="16"/>
      <c r="J98" s="13"/>
      <c r="K98" s="18" t="str">
        <f aca="false">IF(G98="","To review",IF(AND(G98="Change",H98=""),"Add corrected text",IF(AND(H98&lt;&gt;"",J98&lt;&gt;"",ISERROR(SEARCH(J98,H98))),"Keep "&amp;J98,"")))</f>
        <v>To review</v>
      </c>
      <c r="L98" s="19"/>
    </row>
    <row r="99" customFormat="false" ht="46.25" hidden="false" customHeight="false" outlineLevel="0" collapsed="false">
      <c r="A99" s="13" t="n">
        <v>98</v>
      </c>
      <c r="B99" s="13" t="s">
        <v>237</v>
      </c>
      <c r="C99" s="14" t="s">
        <v>329</v>
      </c>
      <c r="D99" s="14" t="s">
        <v>343</v>
      </c>
      <c r="E99" s="13" t="s">
        <v>344</v>
      </c>
      <c r="F99" s="15" t="s">
        <v>345</v>
      </c>
      <c r="G99" s="16"/>
      <c r="H99" s="17"/>
      <c r="I99" s="16"/>
      <c r="J99" s="13"/>
      <c r="K99" s="18" t="str">
        <f aca="false">IF(G99="","To review",IF(AND(G99="Change",H99=""),"Add corrected text",IF(AND(H99&lt;&gt;"",J99&lt;&gt;"",ISERROR(SEARCH(J99,H99))),"Keep "&amp;J99,"")))</f>
        <v>To review</v>
      </c>
      <c r="L99" s="19"/>
    </row>
    <row r="100" customFormat="false" ht="46.25" hidden="false" customHeight="false" outlineLevel="0" collapsed="false">
      <c r="A100" s="13" t="n">
        <v>99</v>
      </c>
      <c r="B100" s="13" t="s">
        <v>237</v>
      </c>
      <c r="C100" s="14" t="s">
        <v>329</v>
      </c>
      <c r="D100" s="14" t="s">
        <v>346</v>
      </c>
      <c r="E100" s="13" t="s">
        <v>347</v>
      </c>
      <c r="F100" s="15" t="s">
        <v>348</v>
      </c>
      <c r="G100" s="16"/>
      <c r="H100" s="17"/>
      <c r="I100" s="16"/>
      <c r="J100" s="13"/>
      <c r="K100" s="18" t="str">
        <f aca="false">IF(G100="","To review",IF(AND(G100="Change",H100=""),"Add corrected text",IF(AND(H100&lt;&gt;"",J100&lt;&gt;"",ISERROR(SEARCH(J100,H100))),"Keep "&amp;J100,"")))</f>
        <v>To review</v>
      </c>
      <c r="L100" s="19"/>
    </row>
    <row r="101" customFormat="false" ht="46.25" hidden="false" customHeight="false" outlineLevel="0" collapsed="false">
      <c r="A101" s="13" t="n">
        <v>100</v>
      </c>
      <c r="B101" s="13" t="s">
        <v>237</v>
      </c>
      <c r="C101" s="14" t="s">
        <v>329</v>
      </c>
      <c r="D101" s="14" t="s">
        <v>349</v>
      </c>
      <c r="E101" s="13" t="s">
        <v>350</v>
      </c>
      <c r="F101" s="15" t="s">
        <v>74</v>
      </c>
      <c r="G101" s="16"/>
      <c r="H101" s="17"/>
      <c r="I101" s="16"/>
      <c r="J101" s="13"/>
      <c r="K101" s="18" t="str">
        <f aca="false">IF(G101="","To review",IF(AND(G101="Change",H101=""),"Add corrected text",IF(AND(H101&lt;&gt;"",J101&lt;&gt;"",ISERROR(SEARCH(J101,H101))),"Keep "&amp;J101,"")))</f>
        <v>To review</v>
      </c>
      <c r="L101" s="19"/>
    </row>
    <row r="102" customFormat="false" ht="46.25" hidden="false" customHeight="false" outlineLevel="0" collapsed="false">
      <c r="A102" s="13" t="n">
        <v>101</v>
      </c>
      <c r="B102" s="13" t="s">
        <v>237</v>
      </c>
      <c r="C102" s="14" t="s">
        <v>329</v>
      </c>
      <c r="D102" s="14" t="s">
        <v>351</v>
      </c>
      <c r="E102" s="13" t="s">
        <v>352</v>
      </c>
      <c r="F102" s="15" t="s">
        <v>353</v>
      </c>
      <c r="G102" s="16"/>
      <c r="H102" s="17"/>
      <c r="I102" s="16"/>
      <c r="J102" s="13"/>
      <c r="K102" s="18" t="str">
        <f aca="false">IF(G102="","To review",IF(AND(G102="Change",H102=""),"Add corrected text",IF(AND(H102&lt;&gt;"",J102&lt;&gt;"",ISERROR(SEARCH(J102,H102))),"Keep "&amp;J102,"")))</f>
        <v>To review</v>
      </c>
      <c r="L102" s="19"/>
    </row>
    <row r="103" customFormat="false" ht="46.25" hidden="false" customHeight="false" outlineLevel="0" collapsed="false">
      <c r="A103" s="13" t="n">
        <v>102</v>
      </c>
      <c r="B103" s="13" t="s">
        <v>237</v>
      </c>
      <c r="C103" s="14" t="s">
        <v>329</v>
      </c>
      <c r="D103" s="14" t="s">
        <v>354</v>
      </c>
      <c r="E103" s="13" t="s">
        <v>355</v>
      </c>
      <c r="F103" s="15" t="s">
        <v>356</v>
      </c>
      <c r="G103" s="16"/>
      <c r="H103" s="17"/>
      <c r="I103" s="16"/>
      <c r="J103" s="13"/>
      <c r="K103" s="18" t="str">
        <f aca="false">IF(G103="","To review",IF(AND(G103="Change",H103=""),"Add corrected text",IF(AND(H103&lt;&gt;"",J103&lt;&gt;"",ISERROR(SEARCH(J103,H103))),"Keep "&amp;J103,"")))</f>
        <v>To review</v>
      </c>
      <c r="L103" s="19"/>
    </row>
    <row r="104" customFormat="false" ht="46.25" hidden="false" customHeight="false" outlineLevel="0" collapsed="false">
      <c r="A104" s="13" t="n">
        <v>103</v>
      </c>
      <c r="B104" s="13" t="s">
        <v>237</v>
      </c>
      <c r="C104" s="14" t="s">
        <v>329</v>
      </c>
      <c r="D104" s="14" t="s">
        <v>357</v>
      </c>
      <c r="E104" s="13" t="s">
        <v>358</v>
      </c>
      <c r="F104" s="15" t="s">
        <v>359</v>
      </c>
      <c r="G104" s="16"/>
      <c r="H104" s="17"/>
      <c r="I104" s="16"/>
      <c r="J104" s="13"/>
      <c r="K104" s="18" t="str">
        <f aca="false">IF(G104="","To review",IF(AND(G104="Change",H104=""),"Add corrected text",IF(AND(H104&lt;&gt;"",J104&lt;&gt;"",ISERROR(SEARCH(J104,H104))),"Keep "&amp;J104,"")))</f>
        <v>To review</v>
      </c>
      <c r="L104" s="19"/>
    </row>
    <row r="105" customFormat="false" ht="46.25" hidden="false" customHeight="false" outlineLevel="0" collapsed="false">
      <c r="A105" s="13" t="n">
        <v>104</v>
      </c>
      <c r="B105" s="13" t="s">
        <v>237</v>
      </c>
      <c r="C105" s="14" t="s">
        <v>329</v>
      </c>
      <c r="D105" s="14" t="s">
        <v>360</v>
      </c>
      <c r="E105" s="13" t="s">
        <v>237</v>
      </c>
      <c r="F105" s="15" t="s">
        <v>238</v>
      </c>
      <c r="G105" s="16"/>
      <c r="H105" s="17"/>
      <c r="I105" s="16"/>
      <c r="J105" s="13"/>
      <c r="K105" s="18" t="str">
        <f aca="false">IF(G105="","To review",IF(AND(G105="Change",H105=""),"Add corrected text",IF(AND(H105&lt;&gt;"",J105&lt;&gt;"",ISERROR(SEARCH(J105,H105))),"Keep "&amp;J105,"")))</f>
        <v>To review</v>
      </c>
      <c r="L105" s="19"/>
    </row>
  </sheetData>
  <autoFilter ref="A1:L105"/>
  <conditionalFormatting sqref="A2:L105">
    <cfRule type="expression" priority="2" aboveAverage="0" equalAverage="0" bottom="0" percent="0" rank="0" text="" dxfId="8">
      <formula>$G2="Change"</formula>
    </cfRule>
    <cfRule type="expression" priority="3" aboveAverage="0" equalAverage="0" bottom="0" percent="0" rank="0" text="" dxfId="9">
      <formula>$G2="Question"</formula>
    </cfRule>
  </conditionalFormatting>
  <dataValidations count="2">
    <dataValidation allowBlank="true" error="Choose OK, Change or Question." errorStyle="stop" errorTitle="Your verdict" operator="between" showDropDown="false" showErrorMessage="false" showInputMessage="false" sqref="G2:G105" type="list">
      <formula1>"OK,Change,Question"</formula1>
      <formula2>0</formula2>
    </dataValidation>
    <dataValidation allowBlank="true" errorStyle="stop" operator="between" showDropDown="false" showErrorMessage="false" showInputMessage="false" sqref="L2:L105" type="list">
      <formula1>"Applied,Not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8"/>
  </cols>
  <sheetData>
    <row r="1" customFormat="false" ht="15" hidden="false" customHeight="false" outlineLevel="0" collapsed="false">
      <c r="A1" s="4" t="s">
        <v>17</v>
      </c>
      <c r="B1" s="4" t="s">
        <v>361</v>
      </c>
      <c r="C1" s="4" t="s">
        <v>362</v>
      </c>
      <c r="D1" s="4" t="s">
        <v>363</v>
      </c>
      <c r="E1" s="4" t="s">
        <v>26</v>
      </c>
      <c r="F1" s="4" t="s">
        <v>364</v>
      </c>
      <c r="G1" s="4" t="s">
        <v>365</v>
      </c>
      <c r="H1" s="4" t="s">
        <v>366</v>
      </c>
    </row>
    <row r="2" customFormat="false" ht="15" hidden="false" customHeight="false" outlineLevel="0" collapsed="false">
      <c r="A2" s="21" t="s">
        <v>23</v>
      </c>
      <c r="B2" s="21" t="n">
        <f aca="false">COUNTIFS(Review!$B$2:$B$105,A2)</f>
        <v>23</v>
      </c>
      <c r="C2" s="21" t="n">
        <f aca="false">COUNTIFS(Review!$B$2:$B$105,A2,Review!$G$2:$G$105,"&lt;&gt;")</f>
        <v>0</v>
      </c>
      <c r="D2" s="21" t="n">
        <f aca="false">COUNTIFS(Review!$B$2:$B$105,A2,Review!$G$2:$G$105,"OK")</f>
        <v>0</v>
      </c>
      <c r="E2" s="21" t="n">
        <f aca="false">COUNTIFS(Review!$B$2:$B$105,A2,Review!$G$2:$G$105,"Change")</f>
        <v>0</v>
      </c>
      <c r="F2" s="21" t="n">
        <f aca="false">COUNTIFS(Review!$B$2:$B$105,A2,Review!$G$2:$G$105,"Question")</f>
        <v>0</v>
      </c>
      <c r="G2" s="21" t="n">
        <f aca="false">B2-C2</f>
        <v>23</v>
      </c>
      <c r="H2" s="21" t="n">
        <f aca="false">COUNTIFS(Review!$B$2:$B$105,A2,Review!$L$2:$L$105,"Applied")</f>
        <v>0</v>
      </c>
    </row>
    <row r="3" customFormat="false" ht="15" hidden="false" customHeight="false" outlineLevel="0" collapsed="false">
      <c r="A3" s="21" t="s">
        <v>109</v>
      </c>
      <c r="B3" s="21" t="n">
        <f aca="false">COUNTIFS(Review!$B$2:$B$105,A3)</f>
        <v>9</v>
      </c>
      <c r="C3" s="21" t="n">
        <f aca="false">COUNTIFS(Review!$B$2:$B$105,A3,Review!$G$2:$G$105,"&lt;&gt;")</f>
        <v>0</v>
      </c>
      <c r="D3" s="21" t="n">
        <f aca="false">COUNTIFS(Review!$B$2:$B$105,A3,Review!$G$2:$G$105,"OK")</f>
        <v>0</v>
      </c>
      <c r="E3" s="21" t="n">
        <f aca="false">COUNTIFS(Review!$B$2:$B$105,A3,Review!$G$2:$G$105,"Change")</f>
        <v>0</v>
      </c>
      <c r="F3" s="21" t="n">
        <f aca="false">COUNTIFS(Review!$B$2:$B$105,A3,Review!$G$2:$G$105,"Question")</f>
        <v>0</v>
      </c>
      <c r="G3" s="21" t="n">
        <f aca="false">B3-C3</f>
        <v>9</v>
      </c>
      <c r="H3" s="21" t="n">
        <f aca="false">COUNTIFS(Review!$B$2:$B$105,A3,Review!$L$2:$L$105,"Applied")</f>
        <v>0</v>
      </c>
    </row>
    <row r="4" customFormat="false" ht="15" hidden="false" customHeight="false" outlineLevel="0" collapsed="false">
      <c r="A4" s="21" t="s">
        <v>137</v>
      </c>
      <c r="B4" s="21" t="n">
        <f aca="false">COUNTIFS(Review!$B$2:$B$105,A4)</f>
        <v>3</v>
      </c>
      <c r="C4" s="21" t="n">
        <f aca="false">COUNTIFS(Review!$B$2:$B$105,A4,Review!$G$2:$G$105,"&lt;&gt;")</f>
        <v>0</v>
      </c>
      <c r="D4" s="21" t="n">
        <f aca="false">COUNTIFS(Review!$B$2:$B$105,A4,Review!$G$2:$G$105,"OK")</f>
        <v>0</v>
      </c>
      <c r="E4" s="21" t="n">
        <f aca="false">COUNTIFS(Review!$B$2:$B$105,A4,Review!$G$2:$G$105,"Change")</f>
        <v>0</v>
      </c>
      <c r="F4" s="21" t="n">
        <f aca="false">COUNTIFS(Review!$B$2:$B$105,A4,Review!$G$2:$G$105,"Question")</f>
        <v>0</v>
      </c>
      <c r="G4" s="21" t="n">
        <f aca="false">B4-C4</f>
        <v>3</v>
      </c>
      <c r="H4" s="21" t="n">
        <f aca="false">COUNTIFS(Review!$B$2:$B$105,A4,Review!$L$2:$L$105,"Applied")</f>
        <v>0</v>
      </c>
    </row>
    <row r="5" customFormat="false" ht="15" hidden="false" customHeight="false" outlineLevel="0" collapsed="false">
      <c r="A5" s="21" t="s">
        <v>147</v>
      </c>
      <c r="B5" s="21" t="n">
        <f aca="false">COUNTIFS(Review!$B$2:$B$105,A5)</f>
        <v>3</v>
      </c>
      <c r="C5" s="21" t="n">
        <f aca="false">COUNTIFS(Review!$B$2:$B$105,A5,Review!$G$2:$G$105,"&lt;&gt;")</f>
        <v>0</v>
      </c>
      <c r="D5" s="21" t="n">
        <f aca="false">COUNTIFS(Review!$B$2:$B$105,A5,Review!$G$2:$G$105,"OK")</f>
        <v>0</v>
      </c>
      <c r="E5" s="21" t="n">
        <f aca="false">COUNTIFS(Review!$B$2:$B$105,A5,Review!$G$2:$G$105,"Change")</f>
        <v>0</v>
      </c>
      <c r="F5" s="21" t="n">
        <f aca="false">COUNTIFS(Review!$B$2:$B$105,A5,Review!$G$2:$G$105,"Question")</f>
        <v>0</v>
      </c>
      <c r="G5" s="21" t="n">
        <f aca="false">B5-C5</f>
        <v>3</v>
      </c>
      <c r="H5" s="21" t="n">
        <f aca="false">COUNTIFS(Review!$B$2:$B$105,A5,Review!$L$2:$L$105,"Applied")</f>
        <v>0</v>
      </c>
    </row>
    <row r="6" customFormat="false" ht="15" hidden="false" customHeight="false" outlineLevel="0" collapsed="false">
      <c r="A6" s="21" t="s">
        <v>157</v>
      </c>
      <c r="B6" s="21" t="n">
        <f aca="false">COUNTIFS(Review!$B$2:$B$105,A6)</f>
        <v>5</v>
      </c>
      <c r="C6" s="21" t="n">
        <f aca="false">COUNTIFS(Review!$B$2:$B$105,A6,Review!$G$2:$G$105,"&lt;&gt;")</f>
        <v>0</v>
      </c>
      <c r="D6" s="21" t="n">
        <f aca="false">COUNTIFS(Review!$B$2:$B$105,A6,Review!$G$2:$G$105,"OK")</f>
        <v>0</v>
      </c>
      <c r="E6" s="21" t="n">
        <f aca="false">COUNTIFS(Review!$B$2:$B$105,A6,Review!$G$2:$G$105,"Change")</f>
        <v>0</v>
      </c>
      <c r="F6" s="21" t="n">
        <f aca="false">COUNTIFS(Review!$B$2:$B$105,A6,Review!$G$2:$G$105,"Question")</f>
        <v>0</v>
      </c>
      <c r="G6" s="21" t="n">
        <f aca="false">B6-C6</f>
        <v>5</v>
      </c>
      <c r="H6" s="21" t="n">
        <f aca="false">COUNTIFS(Review!$B$2:$B$105,A6,Review!$L$2:$L$105,"Applied")</f>
        <v>0</v>
      </c>
    </row>
    <row r="7" customFormat="false" ht="15" hidden="false" customHeight="false" outlineLevel="0" collapsed="false">
      <c r="A7" s="21" t="s">
        <v>173</v>
      </c>
      <c r="B7" s="21" t="n">
        <f aca="false">COUNTIFS(Review!$B$2:$B$105,A7)</f>
        <v>3</v>
      </c>
      <c r="C7" s="21" t="n">
        <f aca="false">COUNTIFS(Review!$B$2:$B$105,A7,Review!$G$2:$G$105,"&lt;&gt;")</f>
        <v>0</v>
      </c>
      <c r="D7" s="21" t="n">
        <f aca="false">COUNTIFS(Review!$B$2:$B$105,A7,Review!$G$2:$G$105,"OK")</f>
        <v>0</v>
      </c>
      <c r="E7" s="21" t="n">
        <f aca="false">COUNTIFS(Review!$B$2:$B$105,A7,Review!$G$2:$G$105,"Change")</f>
        <v>0</v>
      </c>
      <c r="F7" s="21" t="n">
        <f aca="false">COUNTIFS(Review!$B$2:$B$105,A7,Review!$G$2:$G$105,"Question")</f>
        <v>0</v>
      </c>
      <c r="G7" s="21" t="n">
        <f aca="false">B7-C7</f>
        <v>3</v>
      </c>
      <c r="H7" s="21" t="n">
        <f aca="false">COUNTIFS(Review!$B$2:$B$105,A7,Review!$L$2:$L$105,"Applied")</f>
        <v>0</v>
      </c>
    </row>
    <row r="8" customFormat="false" ht="15" hidden="false" customHeight="false" outlineLevel="0" collapsed="false">
      <c r="A8" s="21" t="s">
        <v>182</v>
      </c>
      <c r="B8" s="21" t="n">
        <f aca="false">COUNTIFS(Review!$B$2:$B$105,A8)</f>
        <v>18</v>
      </c>
      <c r="C8" s="21" t="n">
        <f aca="false">COUNTIFS(Review!$B$2:$B$105,A8,Review!$G$2:$G$105,"&lt;&gt;")</f>
        <v>0</v>
      </c>
      <c r="D8" s="21" t="n">
        <f aca="false">COUNTIFS(Review!$B$2:$B$105,A8,Review!$G$2:$G$105,"OK")</f>
        <v>0</v>
      </c>
      <c r="E8" s="21" t="n">
        <f aca="false">COUNTIFS(Review!$B$2:$B$105,A8,Review!$G$2:$G$105,"Change")</f>
        <v>0</v>
      </c>
      <c r="F8" s="21" t="n">
        <f aca="false">COUNTIFS(Review!$B$2:$B$105,A8,Review!$G$2:$G$105,"Question")</f>
        <v>0</v>
      </c>
      <c r="G8" s="21" t="n">
        <f aca="false">B8-C8</f>
        <v>18</v>
      </c>
      <c r="H8" s="21" t="n">
        <f aca="false">COUNTIFS(Review!$B$2:$B$105,A8,Review!$L$2:$L$105,"Applied")</f>
        <v>0</v>
      </c>
    </row>
    <row r="9" customFormat="false" ht="15" hidden="false" customHeight="false" outlineLevel="0" collapsed="false">
      <c r="A9" s="21" t="s">
        <v>219</v>
      </c>
      <c r="B9" s="21" t="n">
        <f aca="false">COUNTIFS(Review!$B$2:$B$105,A9)</f>
        <v>9</v>
      </c>
      <c r="C9" s="21" t="n">
        <f aca="false">COUNTIFS(Review!$B$2:$B$105,A9,Review!$G$2:$G$105,"&lt;&gt;")</f>
        <v>0</v>
      </c>
      <c r="D9" s="21" t="n">
        <f aca="false">COUNTIFS(Review!$B$2:$B$105,A9,Review!$G$2:$G$105,"OK")</f>
        <v>0</v>
      </c>
      <c r="E9" s="21" t="n">
        <f aca="false">COUNTIFS(Review!$B$2:$B$105,A9,Review!$G$2:$G$105,"Change")</f>
        <v>0</v>
      </c>
      <c r="F9" s="21" t="n">
        <f aca="false">COUNTIFS(Review!$B$2:$B$105,A9,Review!$G$2:$G$105,"Question")</f>
        <v>0</v>
      </c>
      <c r="G9" s="21" t="n">
        <f aca="false">B9-C9</f>
        <v>9</v>
      </c>
      <c r="H9" s="21" t="n">
        <f aca="false">COUNTIFS(Review!$B$2:$B$105,A9,Review!$L$2:$L$105,"Applied")</f>
        <v>0</v>
      </c>
    </row>
    <row r="10" customFormat="false" ht="15" hidden="false" customHeight="false" outlineLevel="0" collapsed="false">
      <c r="A10" s="21" t="s">
        <v>270</v>
      </c>
      <c r="B10" s="21" t="n">
        <f aca="false">COUNTIFS(Review!$B$2:$B$105,A10)</f>
        <v>20</v>
      </c>
      <c r="C10" s="21" t="n">
        <f aca="false">COUNTIFS(Review!$B$2:$B$105,A10,Review!$G$2:$G$105,"&lt;&gt;")</f>
        <v>0</v>
      </c>
      <c r="D10" s="21" t="n">
        <f aca="false">COUNTIFS(Review!$B$2:$B$105,A10,Review!$G$2:$G$105,"OK")</f>
        <v>0</v>
      </c>
      <c r="E10" s="21" t="n">
        <f aca="false">COUNTIFS(Review!$B$2:$B$105,A10,Review!$G$2:$G$105,"Change")</f>
        <v>0</v>
      </c>
      <c r="F10" s="21" t="n">
        <f aca="false">COUNTIFS(Review!$B$2:$B$105,A10,Review!$G$2:$G$105,"Question")</f>
        <v>0</v>
      </c>
      <c r="G10" s="21" t="n">
        <f aca="false">B10-C10</f>
        <v>20</v>
      </c>
      <c r="H10" s="21" t="n">
        <f aca="false">COUNTIFS(Review!$B$2:$B$105,A10,Review!$L$2:$L$105,"Applied")</f>
        <v>0</v>
      </c>
    </row>
    <row r="11" customFormat="false" ht="15" hidden="false" customHeight="false" outlineLevel="0" collapsed="false">
      <c r="A11" s="21" t="s">
        <v>237</v>
      </c>
      <c r="B11" s="21" t="n">
        <f aca="false">COUNTIFS(Review!$B$2:$B$105,A11)</f>
        <v>11</v>
      </c>
      <c r="C11" s="21" t="n">
        <f aca="false">COUNTIFS(Review!$B$2:$B$105,A11,Review!$G$2:$G$105,"&lt;&gt;")</f>
        <v>0</v>
      </c>
      <c r="D11" s="21" t="n">
        <f aca="false">COUNTIFS(Review!$B$2:$B$105,A11,Review!$G$2:$G$105,"OK")</f>
        <v>0</v>
      </c>
      <c r="E11" s="21" t="n">
        <f aca="false">COUNTIFS(Review!$B$2:$B$105,A11,Review!$G$2:$G$105,"Change")</f>
        <v>0</v>
      </c>
      <c r="F11" s="21" t="n">
        <f aca="false">COUNTIFS(Review!$B$2:$B$105,A11,Review!$G$2:$G$105,"Question")</f>
        <v>0</v>
      </c>
      <c r="G11" s="21" t="n">
        <f aca="false">B11-C11</f>
        <v>11</v>
      </c>
      <c r="H11" s="21" t="n">
        <f aca="false">COUNTIFS(Review!$B$2:$B$105,A11,Review!$L$2:$L$105,"Applied")</f>
        <v>0</v>
      </c>
    </row>
    <row r="12" customFormat="false" ht="15" hidden="false" customHeight="false" outlineLevel="0" collapsed="false">
      <c r="A12" s="22" t="s">
        <v>367</v>
      </c>
      <c r="B12" s="22" t="n">
        <f aca="false">SUM(B2:B11)</f>
        <v>104</v>
      </c>
      <c r="C12" s="22" t="n">
        <f aca="false">SUM(C2:C11)</f>
        <v>0</v>
      </c>
      <c r="D12" s="22" t="n">
        <f aca="false">SUM(D2:D11)</f>
        <v>0</v>
      </c>
      <c r="E12" s="22" t="n">
        <f aca="false">SUM(E2:E11)</f>
        <v>0</v>
      </c>
      <c r="F12" s="22" t="n">
        <f aca="false">SUM(F2:F11)</f>
        <v>0</v>
      </c>
      <c r="G12" s="22" t="n">
        <f aca="false">SUM(G2:G11)</f>
        <v>104</v>
      </c>
      <c r="H12" s="22" t="n">
        <f aca="false">SUM(H2:H11)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2026-10-20T04:28:47Z</dcterms:created>
  <dc:creator>openpyxl</dc:creator>
  <dc:description/>
  <dc:language>en-US</dc:language>
  <cp:lastModifiedBy/>
  <dcterms:modified xsi:type="dcterms:W3CDTF">2026-10-20T04:28:47Z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