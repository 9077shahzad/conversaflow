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argin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" authorId="0">
      <text>
        <r>
          <rPr>
            <sz val="10"/>
            <rFont val="Arial"/>
            <family val="2"/>
          </rPr>
          <t xml:space="preserve">Hosting split: a fixed share evenly per company, the rest by seats in use (Assumptions).</t>
        </r>
      </text>
    </comment>
  </commentList>
</comments>
</file>

<file path=xl/sharedStrings.xml><?xml version="1.0" encoding="utf-8"?>
<sst xmlns="http://schemas.openxmlformats.org/spreadsheetml/2006/main" count="104" uniqueCount="79">
  <si>
    <t xml:space="preserve">ConversaFlow — annual pricing margin model (draft)</t>
  </si>
  <si>
    <t xml:space="preserve">Purpose: show the expected gross margin per plan, on monthly and on annual billing (annual = 10 × monthly), after infrastructure, customer support and the usage included in each plan — before final pricing approval.</t>
  </si>
  <si>
    <t xml:space="preserve">Status: draft for margin review. The annual prices are stored unpublished in the system; nothing is offered to customers.</t>
  </si>
  <si>
    <t xml:space="preserve">How to use</t>
  </si>
  <si>
    <t xml:space="preserve">• Change only the blue numbers on the Assumptions sheet. Yellow marks the assumptions with the biggest effect on margin.</t>
  </si>
  <si>
    <t xml:space="preserve">• The Margin sheet recalculates. It shows two scales: a pilot (5 companies) and growth (100 companies).</t>
  </si>
  <si>
    <t xml:space="preserve">What is excluded (by owner decision, 19 Oct 2026)</t>
  </si>
  <si>
    <t xml:space="preserve">• Meta (WhatsApp) message fees — each customer pays Meta directly.</t>
  </si>
  <si>
    <t xml:space="preserve">• Usage overages — billed separately when they occur.</t>
  </si>
  <si>
    <t xml:space="preserve">• Not yet modelled: AI costs (Phase 4, to be sold as credits), sales commission, taxes, development cost.</t>
  </si>
  <si>
    <t xml:space="preserve">Where the cost figures come from</t>
  </si>
  <si>
    <t xml:space="preserve">• Hosting: EU hosting comparison of 19 Oct 2026 (AWS Frankfurt, list prices, estimates; see the Pre-Pilot Preparation Pack). Some AWS Frankfurt prices came from third-party mirrors and should be checked in the AWS calculator.</t>
  </si>
  <si>
    <t xml:space="preserve">• Email: Amazon SES Frankfurt list price, $0.10 per 1,000 emails.</t>
  </si>
  <si>
    <t xml:space="preserve">• Support time, support cost and included-usage costs: working assumptions, not sourced — replace with your own figures.</t>
  </si>
  <si>
    <t xml:space="preserve">Growth scale — 100 companies (plan mix on Assumptions)</t>
  </si>
  <si>
    <t xml:space="preserve">Plan</t>
  </si>
  <si>
    <t xml:space="preserve">Monthly price</t>
  </si>
  <si>
    <t xml:space="preserve">Annual price (draft)</t>
  </si>
  <si>
    <t xml:space="preserve">Annual, per month</t>
  </si>
  <si>
    <t xml:space="preserve">Hosting</t>
  </si>
  <si>
    <t xml:space="preserve">Support</t>
  </si>
  <si>
    <t xml:space="preserve">Included usage</t>
  </si>
  <si>
    <t xml:space="preserve">Card fees (monthly billing)</t>
  </si>
  <si>
    <t xml:space="preserve">Card fees (annual, per month)</t>
  </si>
  <si>
    <t xml:space="preserve">Margin, monthly billing</t>
  </si>
  <si>
    <t xml:space="preserve">Margin %, monthly</t>
  </si>
  <si>
    <t xml:space="preserve">Margin, annual billing (per month)</t>
  </si>
  <si>
    <t xml:space="preserve">Margin %, annual</t>
  </si>
  <si>
    <t xml:space="preserve">Starter</t>
  </si>
  <si>
    <t xml:space="preserve">Growth</t>
  </si>
  <si>
    <t xml:space="preserve">Business</t>
  </si>
  <si>
    <t xml:space="preserve">Enterprise</t>
  </si>
  <si>
    <t xml:space="preserve">Whole mix</t>
  </si>
  <si>
    <t xml:space="preserve">"Whole mix" = monthly totals for all companies at this scale (revenue and gross margin in $, margin as a share of revenue).</t>
  </si>
  <si>
    <t xml:space="preserve">Pilot scale — 5 companies (fixed hosting spread over very few companies)</t>
  </si>
  <si>
    <t xml:space="preserve">Per plan</t>
  </si>
  <si>
    <t xml:space="preserve">Note / source</t>
  </si>
  <si>
    <t xml:space="preserve">Monthly price ($)</t>
  </si>
  <si>
    <t xml:space="preserve">BRD v1.1 proposed prices (owner-approved catalogue, version 1)</t>
  </si>
  <si>
    <t xml:space="preserve">Seat limit</t>
  </si>
  <si>
    <t xml:space="preserve">BRD v1.1 plan limits</t>
  </si>
  <si>
    <t xml:space="preserve">Share of seats in use</t>
  </si>
  <si>
    <t xml:space="preserve">Assumption: companies use 70% of their seat limit</t>
  </si>
  <si>
    <t xml:space="preserve">Included automation runs / month</t>
  </si>
  <si>
    <t xml:space="preserve">BRD v1.1; Enterprise is custom — 50,000 assumed for costing</t>
  </si>
  <si>
    <t xml:space="preserve">Support hours per company / month</t>
  </si>
  <si>
    <t xml:space="preserve">Assumption — replace with your support plan</t>
  </si>
  <si>
    <t xml:space="preserve">Companies at growth scale</t>
  </si>
  <si>
    <t xml:space="preserve">Assumption: plan mix of 100 companies</t>
  </si>
  <si>
    <t xml:space="preserve">Companies at pilot scale</t>
  </si>
  <si>
    <t xml:space="preserve">Assumption: 5 pilot companies</t>
  </si>
  <si>
    <t xml:space="preserve">Shared inputs</t>
  </si>
  <si>
    <t xml:space="preserve">Value</t>
  </si>
  <si>
    <t xml:space="preserve">Hosting at growth scale ($ / month)</t>
  </si>
  <si>
    <t xml:space="preserve">AWS Frankfurt growth estimate excl. email (docs/readiness/hosting-comparison.md): HA database, app and ClamAV containers, 1 TB files, WAF, backups, logs, support plan</t>
  </si>
  <si>
    <t xml:space="preserve">Hosting at pilot scale ($ / month)</t>
  </si>
  <si>
    <t xml:space="preserve">AWS Frankfurt pilot estimate excl. email (docs/readiness/hosting-comparison.md): production + smaller staging</t>
  </si>
  <si>
    <t xml:space="preserve">Emails per seat in use / month</t>
  </si>
  <si>
    <t xml:space="preserve">Assumption: invitations, resets, notifications</t>
  </si>
  <si>
    <t xml:space="preserve">Email cost per 1,000 ($)</t>
  </si>
  <si>
    <t xml:space="preserve">Amazon SES Frankfurt list price</t>
  </si>
  <si>
    <t xml:space="preserve">Share of hosting split evenly per company</t>
  </si>
  <si>
    <t xml:space="preserve">Assumption: rest is split by seats in use</t>
  </si>
  <si>
    <t xml:space="preserve">File storage per seat in use (GB)</t>
  </si>
  <si>
    <t xml:space="preserve">Assumption</t>
  </si>
  <si>
    <t xml:space="preserve">Storage cost per GB-month incl. backup copy ($)</t>
  </si>
  <si>
    <t xml:space="preserve">Assumption: S3 Frankfurt about $0.0245/GB plus a second-region copy</t>
  </si>
  <si>
    <t xml:space="preserve">Compute cost per 1,000 automation runs ($)</t>
  </si>
  <si>
    <t xml:space="preserve">Assumption: worker and database time</t>
  </si>
  <si>
    <t xml:space="preserve">Share of included runs actually used</t>
  </si>
  <si>
    <t xml:space="preserve">Support cost per hour, fully loaded ($)</t>
  </si>
  <si>
    <t xml:space="preserve">Assumption — e.g. a GCC-based support agent incl. overheads</t>
  </si>
  <si>
    <t xml:space="preserve">Card processing — percent of charge</t>
  </si>
  <si>
    <t xml:space="preserve">Typical card fee; varies by processor and country</t>
  </si>
  <si>
    <t xml:space="preserve">Card processing — fixed fee per charge ($)</t>
  </si>
  <si>
    <t xml:space="preserve">Typical card fee</t>
  </si>
  <si>
    <t xml:space="preserve">Annual price multiple (× monthly)</t>
  </si>
  <si>
    <t xml:space="preserve">Owner decision 19 Oct 2026 (draft, unpublished)</t>
  </si>
  <si>
    <t xml:space="preserve">Legend: blue = input you can change · yellow = biggest effect on margin · black = calculated.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</si>
</sst>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\$#,##0.00;&quot;($&quot;#,##0.00\);\-"/>
    <numFmt numFmtId="167" formatCode="0.0%;\(0.0%\);\-"/>
    <numFmt numFmtId="168" formatCode="0"/>
    <numFmt numFmtId="169" formatCode="#,##0"/>
    <numFmt numFmtId="170" formatCode="#,##0.0;\(#,##0.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475569"/>
      <name val="Arial"/>
      <family val="0"/>
      <charset val="1"/>
    </font>
    <font>
      <sz val="10"/>
      <name val="Arial"/>
      <family val="2"/>
    </font>
    <font>
      <sz val="11"/>
      <color rgb="FF0000FF"/>
      <name val="Arial"/>
      <family val="0"/>
      <charset val="1"/>
    </font>
    <font>
      <sz val="10"/>
      <color rgb="FF475569"/>
      <name val="Arial"/>
      <family val="0"/>
      <charset val="1"/>
    </font>
    <font>
      <i val="true"/>
      <sz val="11"/>
      <color rgb="FF47556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7490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2" customFormat="false" ht="26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26.8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4" t="s">
        <v>14</v>
      </c>
    </row>
    <row r="2" customFormat="false" ht="43.5" hidden="false" customHeight="true" outlineLevel="0" collapsed="false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</row>
    <row r="3" customFormat="false" ht="15" hidden="false" customHeight="false" outlineLevel="0" collapsed="false">
      <c r="A3" s="6" t="s">
        <v>28</v>
      </c>
      <c r="B3" s="7" t="n">
        <f aca="false">Assumptions!$B$3</f>
        <v>29</v>
      </c>
      <c r="C3" s="8" t="n">
        <f aca="false">B3*Assumptions!$B$24</f>
        <v>290</v>
      </c>
      <c r="D3" s="9" t="n">
        <f aca="false">C3/12</f>
        <v>24.1666666666667</v>
      </c>
      <c r="E3" s="9" t="n">
        <f aca="false">IF((Assumptions!$B$8+Assumptions!$C$8+Assumptions!$D$8+Assumptions!$E$8)=0,0,Assumptions!$B$12*(Assumptions!$B$16/(Assumptions!$B$8+Assumptions!$C$8+Assumptions!$D$8+Assumptions!$E$8)+(1-Assumptions!$B$16)*Assumptions!$B$4*Assumptions!$B$5/(Assumptions!$B$8*Assumptions!$B$4*Assumptions!$B$5+Assumptions!$C$8*Assumptions!$C$4*Assumptions!$C$5+Assumptions!$D$8*Assumptions!$D$4*Assumptions!$D$5+Assumptions!$E$8*Assumptions!$E$4*Assumptions!$E$5)))</f>
        <v>7.33691803278688</v>
      </c>
      <c r="F3" s="9" t="n">
        <f aca="false">Assumptions!$B$7*Assumptions!$B$21</f>
        <v>10</v>
      </c>
      <c r="G3" s="9" t="n">
        <f aca="false">Assumptions!$B$4*Assumptions!$B$5*Assumptions!$B$14/1000*Assumptions!$B$15+Assumptions!$B$4*Assumptions!$B$5*Assumptions!$B$17*Assumptions!$B$18+Assumptions!$B$6*Assumptions!$B$20/1000*Assumptions!$B$19</f>
        <v>0.1342</v>
      </c>
      <c r="H3" s="9" t="n">
        <f aca="false">B3*Assumptions!$B$22+Assumptions!$B$23</f>
        <v>1.17</v>
      </c>
      <c r="I3" s="9" t="n">
        <f aca="false">(C3*Assumptions!$B$22+Assumptions!$B$23)/12</f>
        <v>0.75</v>
      </c>
      <c r="J3" s="9" t="n">
        <f aca="false">B3-E3-F3-G3-H3</f>
        <v>10.3588819672131</v>
      </c>
      <c r="K3" s="10" t="n">
        <f aca="false">IF(B3=0,0,J3/B3)</f>
        <v>0.357202826455625</v>
      </c>
      <c r="L3" s="9" t="n">
        <f aca="false">D3-E3-F3-G3-I3</f>
        <v>5.94554863387979</v>
      </c>
      <c r="M3" s="10" t="n">
        <f aca="false">IF(D3=0,0,L3/D3)</f>
        <v>0.246022702091577</v>
      </c>
    </row>
    <row r="4" customFormat="false" ht="15" hidden="false" customHeight="false" outlineLevel="0" collapsed="false">
      <c r="A4" s="6" t="s">
        <v>29</v>
      </c>
      <c r="B4" s="7" t="n">
        <f aca="false">Assumptions!$C$3</f>
        <v>79</v>
      </c>
      <c r="C4" s="8" t="n">
        <f aca="false">B4*Assumptions!$B$24</f>
        <v>790</v>
      </c>
      <c r="D4" s="9" t="n">
        <f aca="false">C4/12</f>
        <v>65.8333333333333</v>
      </c>
      <c r="E4" s="9" t="n">
        <f aca="false">IF((Assumptions!$B$8+Assumptions!$C$8+Assumptions!$D$8+Assumptions!$E$8)=0,0,Assumptions!$B$12*(Assumptions!$B$16/(Assumptions!$B$8+Assumptions!$C$8+Assumptions!$D$8+Assumptions!$E$8)+(1-Assumptions!$B$16)*Assumptions!$C$4*Assumptions!$C$5/(Assumptions!$B$8*Assumptions!$B$4*Assumptions!$B$5+Assumptions!$C$8*Assumptions!$C$4*Assumptions!$C$5+Assumptions!$D$8*Assumptions!$D$4*Assumptions!$D$5+Assumptions!$E$8*Assumptions!$E$4*Assumptions!$E$5)))</f>
        <v>13.578393442623</v>
      </c>
      <c r="F4" s="9" t="n">
        <f aca="false">Assumptions!$C$7*Assumptions!$B$21</f>
        <v>30</v>
      </c>
      <c r="G4" s="9" t="n">
        <f aca="false">Assumptions!$C$4*Assumptions!$C$5*Assumptions!$B$14/1000*Assumptions!$B$15+Assumptions!$C$4*Assumptions!$C$5*Assumptions!$B$17*Assumptions!$B$18+Assumptions!$C$6*Assumptions!$B$20/1000*Assumptions!$B$19</f>
        <v>0.489</v>
      </c>
      <c r="H4" s="9" t="n">
        <f aca="false">B4*Assumptions!$B$22+Assumptions!$B$23</f>
        <v>2.67</v>
      </c>
      <c r="I4" s="9" t="n">
        <f aca="false">(C4*Assumptions!$B$22+Assumptions!$B$23)/12</f>
        <v>2</v>
      </c>
      <c r="J4" s="9" t="n">
        <f aca="false">B4-E4-F4-G4-H4</f>
        <v>32.2626065573771</v>
      </c>
      <c r="K4" s="10" t="n">
        <f aca="false">IF(B4=0,0,J4/B4)</f>
        <v>0.408387424776925</v>
      </c>
      <c r="L4" s="9" t="n">
        <f aca="false">D4-E4-F4-G4-I4</f>
        <v>19.7659398907104</v>
      </c>
      <c r="M4" s="10" t="n">
        <f aca="false">IF(D4=0,0,L4/D4)</f>
        <v>0.300242124922183</v>
      </c>
    </row>
    <row r="5" customFormat="false" ht="15" hidden="false" customHeight="false" outlineLevel="0" collapsed="false">
      <c r="A5" s="6" t="s">
        <v>30</v>
      </c>
      <c r="B5" s="7" t="n">
        <f aca="false">Assumptions!$D$3</f>
        <v>199</v>
      </c>
      <c r="C5" s="8" t="n">
        <f aca="false">B5*Assumptions!$B$24</f>
        <v>1990</v>
      </c>
      <c r="D5" s="9" t="n">
        <f aca="false">C5/12</f>
        <v>165.833333333333</v>
      </c>
      <c r="E5" s="9" t="n">
        <f aca="false">IF((Assumptions!$B$8+Assumptions!$C$8+Assumptions!$D$8+Assumptions!$E$8)=0,0,Assumptions!$B$12*(Assumptions!$B$16/(Assumptions!$B$8+Assumptions!$C$8+Assumptions!$D$8+Assumptions!$E$8)+(1-Assumptions!$B$16)*Assumptions!$D$4*Assumptions!$D$5/(Assumptions!$B$8*Assumptions!$B$4*Assumptions!$B$5+Assumptions!$C$8*Assumptions!$C$4*Assumptions!$C$5+Assumptions!$D$8*Assumptions!$D$4*Assumptions!$D$5+Assumptions!$E$8*Assumptions!$E$4*Assumptions!$E$5)))</f>
        <v>26.9529836065574</v>
      </c>
      <c r="F5" s="9" t="n">
        <f aca="false">Assumptions!$D$7*Assumptions!$B$21</f>
        <v>60</v>
      </c>
      <c r="G5" s="9" t="n">
        <f aca="false">Assumptions!$D$4*Assumptions!$D$5*Assumptions!$B$14/1000*Assumptions!$B$15+Assumptions!$D$4*Assumptions!$D$5*Assumptions!$B$17*Assumptions!$B$18+Assumptions!$D$6*Assumptions!$B$20/1000*Assumptions!$B$19</f>
        <v>1.535</v>
      </c>
      <c r="H5" s="9" t="n">
        <f aca="false">B5*Assumptions!$B$22+Assumptions!$B$23</f>
        <v>6.27</v>
      </c>
      <c r="I5" s="9" t="n">
        <f aca="false">(C5*Assumptions!$B$22+Assumptions!$B$23)/12</f>
        <v>5</v>
      </c>
      <c r="J5" s="9" t="n">
        <f aca="false">B5-E5-F5-G5-H5</f>
        <v>104.242016393443</v>
      </c>
      <c r="K5" s="10" t="n">
        <f aca="false">IF(B5=0,0,J5/B5)</f>
        <v>0.523829228107752</v>
      </c>
      <c r="L5" s="9" t="n">
        <f aca="false">D5-E5-F5-G5-I5</f>
        <v>72.345349726776</v>
      </c>
      <c r="M5" s="10" t="n">
        <f aca="false">IF(D5=0,0,L5/D5)</f>
        <v>0.436253365186589</v>
      </c>
    </row>
    <row r="6" customFormat="false" ht="15" hidden="false" customHeight="false" outlineLevel="0" collapsed="false">
      <c r="A6" s="6" t="s">
        <v>31</v>
      </c>
      <c r="B6" s="7" t="n">
        <f aca="false">Assumptions!$E$3</f>
        <v>499</v>
      </c>
      <c r="C6" s="8" t="n">
        <f aca="false">B6*Assumptions!$B$24</f>
        <v>4990</v>
      </c>
      <c r="D6" s="9" t="n">
        <f aca="false">C6/12</f>
        <v>415.833333333333</v>
      </c>
      <c r="E6" s="9" t="n">
        <f aca="false">IF((Assumptions!$B$8+Assumptions!$C$8+Assumptions!$D$8+Assumptions!$E$8)=0,0,Assumptions!$B$12*(Assumptions!$B$16/(Assumptions!$B$8+Assumptions!$C$8+Assumptions!$D$8+Assumptions!$E$8)+(1-Assumptions!$B$16)*Assumptions!$E$4*Assumptions!$E$5/(Assumptions!$B$8*Assumptions!$B$4*Assumptions!$B$5+Assumptions!$C$8*Assumptions!$C$4*Assumptions!$C$5+Assumptions!$D$8*Assumptions!$D$4*Assumptions!$D$5+Assumptions!$E$8*Assumptions!$E$4*Assumptions!$E$5)))</f>
        <v>49.2439672131148</v>
      </c>
      <c r="F6" s="9" t="n">
        <f aca="false">Assumptions!$E$7*Assumptions!$B$21</f>
        <v>120</v>
      </c>
      <c r="G6" s="9" t="n">
        <f aca="false">Assumptions!$E$4*Assumptions!$E$5*Assumptions!$B$14/1000*Assumptions!$B$15+Assumptions!$E$4*Assumptions!$E$5*Assumptions!$B$17*Assumptions!$B$18+Assumptions!$E$6*Assumptions!$B$20/1000*Assumptions!$B$19</f>
        <v>3.07</v>
      </c>
      <c r="H6" s="9" t="n">
        <f aca="false">B6*Assumptions!$B$22+Assumptions!$B$23</f>
        <v>15.27</v>
      </c>
      <c r="I6" s="9" t="n">
        <f aca="false">(C6*Assumptions!$B$22+Assumptions!$B$23)/12</f>
        <v>12.5</v>
      </c>
      <c r="J6" s="9" t="n">
        <f aca="false">B6-E6-F6-G6-H6</f>
        <v>311.416032786885</v>
      </c>
      <c r="K6" s="10" t="n">
        <f aca="false">IF(B6=0,0,J6/B6)</f>
        <v>0.624080226025822</v>
      </c>
      <c r="L6" s="9" t="n">
        <f aca="false">D6-E6-F6-G6-I6</f>
        <v>231.019366120219</v>
      </c>
      <c r="M6" s="10" t="n">
        <f aca="false">IF(D6=0,0,L6/D6)</f>
        <v>0.555557593876277</v>
      </c>
    </row>
    <row r="7" customFormat="false" ht="15" hidden="false" customHeight="false" outlineLevel="0" collapsed="false">
      <c r="A7" s="6" t="s">
        <v>32</v>
      </c>
      <c r="B7" s="11" t="n">
        <f aca="false">Assumptions!$B$8*B3+Assumptions!$C$8*B4+Assumptions!$D$8*B5+Assumptions!$E$8*B6</f>
        <v>10400</v>
      </c>
      <c r="C7" s="11"/>
      <c r="D7" s="11" t="n">
        <f aca="false">Assumptions!$B$8*D3+Assumptions!$C$8*D4+Assumptions!$D$8*D5+Assumptions!$E$8*D6</f>
        <v>8666.66666666667</v>
      </c>
      <c r="E7" s="11"/>
      <c r="F7" s="11"/>
      <c r="G7" s="11"/>
      <c r="H7" s="11"/>
      <c r="I7" s="11"/>
      <c r="J7" s="11" t="n">
        <f aca="false">Assumptions!$B$8*J3+Assumptions!$C$8*J4+Assumptions!$D$8*J5+Assumptions!$E$8*J6</f>
        <v>5185.467</v>
      </c>
      <c r="K7" s="12" t="n">
        <f aca="false">IF(B7=0,0,J7/B7)</f>
        <v>0.498602596153846</v>
      </c>
      <c r="L7" s="11" t="n">
        <f aca="false">Assumptions!$B$8*L3+Assumptions!$C$8*L4+Assumptions!$D$8*L5+Assumptions!$E$8*L6</f>
        <v>3531.63366666667</v>
      </c>
      <c r="M7" s="12" t="n">
        <f aca="false">IF(D7=0,0,L7/D7)</f>
        <v>0.407496192307692</v>
      </c>
    </row>
    <row r="8" customFormat="false" ht="15" hidden="false" customHeight="false" outlineLevel="0" collapsed="false">
      <c r="A8" s="13" t="s">
        <v>33</v>
      </c>
    </row>
    <row r="10" customFormat="false" ht="15" hidden="false" customHeight="false" outlineLevel="0" collapsed="false">
      <c r="A10" s="4" t="s">
        <v>34</v>
      </c>
    </row>
    <row r="11" customFormat="false" ht="43.5" hidden="false" customHeight="true" outlineLevel="0" collapsed="false">
      <c r="A11" s="5" t="s">
        <v>15</v>
      </c>
      <c r="B11" s="5" t="s">
        <v>16</v>
      </c>
      <c r="C11" s="5" t="s">
        <v>17</v>
      </c>
      <c r="D11" s="5" t="s">
        <v>18</v>
      </c>
      <c r="E11" s="5" t="s">
        <v>19</v>
      </c>
      <c r="F11" s="5" t="s">
        <v>20</v>
      </c>
      <c r="G11" s="5" t="s">
        <v>21</v>
      </c>
      <c r="H11" s="5" t="s">
        <v>22</v>
      </c>
      <c r="I11" s="5" t="s">
        <v>23</v>
      </c>
      <c r="J11" s="5" t="s">
        <v>24</v>
      </c>
      <c r="K11" s="5" t="s">
        <v>25</v>
      </c>
      <c r="L11" s="5" t="s">
        <v>26</v>
      </c>
      <c r="M11" s="5" t="s">
        <v>27</v>
      </c>
    </row>
    <row r="12" customFormat="false" ht="15" hidden="false" customHeight="false" outlineLevel="0" collapsed="false">
      <c r="A12" s="6" t="s">
        <v>28</v>
      </c>
      <c r="B12" s="7" t="n">
        <f aca="false">Assumptions!$B$3</f>
        <v>29</v>
      </c>
      <c r="C12" s="8" t="n">
        <f aca="false">B12*Assumptions!$B$24</f>
        <v>290</v>
      </c>
      <c r="D12" s="9" t="n">
        <f aca="false">C12/12</f>
        <v>24.1666666666667</v>
      </c>
      <c r="E12" s="9" t="n">
        <f aca="false">IF((Assumptions!$B$9+Assumptions!$C$9+Assumptions!$D$9+Assumptions!$E$9)=0,0,Assumptions!$B$13*(Assumptions!$B$16/(Assumptions!$B$9+Assumptions!$C$9+Assumptions!$D$9+Assumptions!$E$9)+(1-Assumptions!$B$16)*Assumptions!$B$4*Assumptions!$B$5/(Assumptions!$B$9*Assumptions!$B$4*Assumptions!$B$5+Assumptions!$C$9*Assumptions!$C$4*Assumptions!$C$5+Assumptions!$D$9*Assumptions!$D$4*Assumptions!$D$5+Assumptions!$E$9*Assumptions!$E$4*Assumptions!$E$5)))</f>
        <v>39.146301369863</v>
      </c>
      <c r="F12" s="9" t="n">
        <f aca="false">Assumptions!$B$7*Assumptions!$B$21</f>
        <v>10</v>
      </c>
      <c r="G12" s="9" t="n">
        <f aca="false">Assumptions!$B$4*Assumptions!$B$5*Assumptions!$B$14/1000*Assumptions!$B$15+Assumptions!$B$4*Assumptions!$B$5*Assumptions!$B$17*Assumptions!$B$18+Assumptions!$B$6*Assumptions!$B$20/1000*Assumptions!$B$19</f>
        <v>0.1342</v>
      </c>
      <c r="H12" s="9" t="n">
        <f aca="false">B12*Assumptions!$B$22+Assumptions!$B$23</f>
        <v>1.17</v>
      </c>
      <c r="I12" s="9" t="n">
        <f aca="false">(C12*Assumptions!$B$22+Assumptions!$B$23)/12</f>
        <v>0.75</v>
      </c>
      <c r="J12" s="9" t="n">
        <f aca="false">B12-E12-F12-G12-H12</f>
        <v>-21.450501369863</v>
      </c>
      <c r="K12" s="10" t="n">
        <f aca="false">IF(B12=0,0,J12/B12)</f>
        <v>-0.739672461029759</v>
      </c>
      <c r="L12" s="9" t="n">
        <f aca="false">D12-E12-F12-G12-I12</f>
        <v>-25.8638347031963</v>
      </c>
      <c r="M12" s="10" t="n">
        <f aca="false">IF(D12=0,0,L12/D12)</f>
        <v>-1.07022764289088</v>
      </c>
    </row>
    <row r="13" customFormat="false" ht="15" hidden="false" customHeight="false" outlineLevel="0" collapsed="false">
      <c r="A13" s="6" t="s">
        <v>29</v>
      </c>
      <c r="B13" s="7" t="n">
        <f aca="false">Assumptions!$C$3</f>
        <v>79</v>
      </c>
      <c r="C13" s="8" t="n">
        <f aca="false">B13*Assumptions!$B$24</f>
        <v>790</v>
      </c>
      <c r="D13" s="9" t="n">
        <f aca="false">C13/12</f>
        <v>65.8333333333333</v>
      </c>
      <c r="E13" s="9" t="n">
        <f aca="false">IF((Assumptions!$B$9+Assumptions!$C$9+Assumptions!$D$9+Assumptions!$E$9)=0,0,Assumptions!$B$13*(Assumptions!$B$16/(Assumptions!$B$9+Assumptions!$C$9+Assumptions!$D$9+Assumptions!$E$9)+(1-Assumptions!$B$16)*Assumptions!$C$4*Assumptions!$C$5/(Assumptions!$B$9*Assumptions!$B$4*Assumptions!$B$5+Assumptions!$C$9*Assumptions!$C$4*Assumptions!$C$5+Assumptions!$D$9*Assumptions!$D$4*Assumptions!$D$5+Assumptions!$E$9*Assumptions!$E$4*Assumptions!$E$5)))</f>
        <v>68.7476712328767</v>
      </c>
      <c r="F13" s="9" t="n">
        <f aca="false">Assumptions!$C$7*Assumptions!$B$21</f>
        <v>30</v>
      </c>
      <c r="G13" s="9" t="n">
        <f aca="false">Assumptions!$C$4*Assumptions!$C$5*Assumptions!$B$14/1000*Assumptions!$B$15+Assumptions!$C$4*Assumptions!$C$5*Assumptions!$B$17*Assumptions!$B$18+Assumptions!$C$6*Assumptions!$B$20/1000*Assumptions!$B$19</f>
        <v>0.489</v>
      </c>
      <c r="H13" s="9" t="n">
        <f aca="false">B13*Assumptions!$B$22+Assumptions!$B$23</f>
        <v>2.67</v>
      </c>
      <c r="I13" s="9" t="n">
        <f aca="false">(C13*Assumptions!$B$22+Assumptions!$B$23)/12</f>
        <v>2</v>
      </c>
      <c r="J13" s="9" t="n">
        <f aca="false">B13-E13-F13-G13-H13</f>
        <v>-22.9066712328767</v>
      </c>
      <c r="K13" s="10" t="n">
        <f aca="false">IF(B13=0,0,J13/B13)</f>
        <v>-0.2899578637073</v>
      </c>
      <c r="L13" s="9" t="n">
        <f aca="false">D13-E13-F13-G13-I13</f>
        <v>-35.4033378995434</v>
      </c>
      <c r="M13" s="10" t="n">
        <f aca="false">IF(D13=0,0,L13/D13)</f>
        <v>-0.537772221258887</v>
      </c>
    </row>
    <row r="14" customFormat="false" ht="15" hidden="false" customHeight="false" outlineLevel="0" collapsed="false">
      <c r="A14" s="6" t="s">
        <v>30</v>
      </c>
      <c r="B14" s="7" t="n">
        <f aca="false">Assumptions!$D$3</f>
        <v>199</v>
      </c>
      <c r="C14" s="8" t="n">
        <f aca="false">B14*Assumptions!$B$24</f>
        <v>1990</v>
      </c>
      <c r="D14" s="9" t="n">
        <f aca="false">C14/12</f>
        <v>165.833333333333</v>
      </c>
      <c r="E14" s="9" t="n">
        <f aca="false">IF((Assumptions!$B$9+Assumptions!$C$9+Assumptions!$D$9+Assumptions!$E$9)=0,0,Assumptions!$B$13*(Assumptions!$B$16/(Assumptions!$B$9+Assumptions!$C$9+Assumptions!$D$9+Assumptions!$E$9)+(1-Assumptions!$B$16)*Assumptions!$D$4*Assumptions!$D$5/(Assumptions!$B$9*Assumptions!$B$4*Assumptions!$B$5+Assumptions!$C$9*Assumptions!$C$4*Assumptions!$C$5+Assumptions!$D$9*Assumptions!$D$4*Assumptions!$D$5+Assumptions!$E$9*Assumptions!$E$4*Assumptions!$E$5)))</f>
        <v>132.179178082192</v>
      </c>
      <c r="F14" s="9" t="n">
        <f aca="false">Assumptions!$D$7*Assumptions!$B$21</f>
        <v>60</v>
      </c>
      <c r="G14" s="9" t="n">
        <f aca="false">Assumptions!$D$4*Assumptions!$D$5*Assumptions!$B$14/1000*Assumptions!$B$15+Assumptions!$D$4*Assumptions!$D$5*Assumptions!$B$17*Assumptions!$B$18+Assumptions!$D$6*Assumptions!$B$20/1000*Assumptions!$B$19</f>
        <v>1.535</v>
      </c>
      <c r="H14" s="9" t="n">
        <f aca="false">B14*Assumptions!$B$22+Assumptions!$B$23</f>
        <v>6.27</v>
      </c>
      <c r="I14" s="9" t="n">
        <f aca="false">(C14*Assumptions!$B$22+Assumptions!$B$23)/12</f>
        <v>5</v>
      </c>
      <c r="J14" s="9" t="n">
        <f aca="false">B14-E14-F14-G14-H14</f>
        <v>-0.984178082191782</v>
      </c>
      <c r="K14" s="10" t="n">
        <f aca="false">IF(B14=0,0,J14/B14)</f>
        <v>-0.00494561850347629</v>
      </c>
      <c r="L14" s="9" t="n">
        <f aca="false">D14-E14-F14-G14-I14</f>
        <v>-32.8808447488584</v>
      </c>
      <c r="M14" s="10" t="n">
        <f aca="false">IF(D14=0,0,L14/D14)</f>
        <v>-0.198276450746885</v>
      </c>
    </row>
    <row r="15" customFormat="false" ht="15" hidden="false" customHeight="false" outlineLevel="0" collapsed="false">
      <c r="A15" s="6" t="s">
        <v>31</v>
      </c>
      <c r="B15" s="7" t="n">
        <f aca="false">Assumptions!$E$3</f>
        <v>499</v>
      </c>
      <c r="C15" s="8" t="n">
        <f aca="false">B15*Assumptions!$B$24</f>
        <v>4990</v>
      </c>
      <c r="D15" s="9" t="n">
        <f aca="false">C15/12</f>
        <v>415.833333333333</v>
      </c>
      <c r="E15" s="9" t="n">
        <f aca="false">IF((Assumptions!$B$9+Assumptions!$C$9+Assumptions!$D$9+Assumptions!$E$9)=0,0,Assumptions!$B$13*(Assumptions!$B$16/(Assumptions!$B$9+Assumptions!$C$9+Assumptions!$D$9+Assumptions!$E$9)+(1-Assumptions!$B$16)*Assumptions!$E$4*Assumptions!$E$5/(Assumptions!$B$9*Assumptions!$B$4*Assumptions!$B$5+Assumptions!$C$9*Assumptions!$C$4*Assumptions!$C$5+Assumptions!$D$9*Assumptions!$D$4*Assumptions!$D$5+Assumptions!$E$9*Assumptions!$E$4*Assumptions!$E$5)))</f>
        <v>237.898356164384</v>
      </c>
      <c r="F15" s="9" t="n">
        <f aca="false">Assumptions!$E$7*Assumptions!$B$21</f>
        <v>120</v>
      </c>
      <c r="G15" s="9" t="n">
        <f aca="false">Assumptions!$E$4*Assumptions!$E$5*Assumptions!$B$14/1000*Assumptions!$B$15+Assumptions!$E$4*Assumptions!$E$5*Assumptions!$B$17*Assumptions!$B$18+Assumptions!$E$6*Assumptions!$B$20/1000*Assumptions!$B$19</f>
        <v>3.07</v>
      </c>
      <c r="H15" s="9" t="n">
        <f aca="false">B15*Assumptions!$B$22+Assumptions!$B$23</f>
        <v>15.27</v>
      </c>
      <c r="I15" s="9" t="n">
        <f aca="false">(C15*Assumptions!$B$22+Assumptions!$B$23)/12</f>
        <v>12.5</v>
      </c>
      <c r="J15" s="9" t="n">
        <f aca="false">B15-E15-F15-G15-H15</f>
        <v>122.761643835616</v>
      </c>
      <c r="K15" s="10" t="n">
        <f aca="false">IF(B15=0,0,J15/B15)</f>
        <v>0.246015318307849</v>
      </c>
      <c r="L15" s="9" t="n">
        <f aca="false">D15-E15-F15-G15-I15</f>
        <v>42.3649771689498</v>
      </c>
      <c r="M15" s="10" t="n">
        <f aca="false">IF(D15=0,0,L15/D15)</f>
        <v>0.101879704614709</v>
      </c>
    </row>
    <row r="16" customFormat="false" ht="15" hidden="false" customHeight="false" outlineLevel="0" collapsed="false">
      <c r="A16" s="6" t="s">
        <v>32</v>
      </c>
      <c r="B16" s="11" t="n">
        <f aca="false">Assumptions!$B$9*B12+Assumptions!$C$9*B13+Assumptions!$D$9*B14+Assumptions!$E$9*B15</f>
        <v>585</v>
      </c>
      <c r="C16" s="11"/>
      <c r="D16" s="11" t="n">
        <f aca="false">Assumptions!$B$9*D12+Assumptions!$C$9*D13+Assumptions!$D$9*D14+Assumptions!$E$9*D15</f>
        <v>487.5</v>
      </c>
      <c r="E16" s="11"/>
      <c r="F16" s="11"/>
      <c r="G16" s="11"/>
      <c r="H16" s="11"/>
      <c r="I16" s="11"/>
      <c r="J16" s="11" t="n">
        <f aca="false">Assumptions!$B$9*J12+Assumptions!$C$9*J13+Assumptions!$D$9*J14+Assumptions!$E$9*J15</f>
        <v>-69.2322</v>
      </c>
      <c r="K16" s="12" t="n">
        <f aca="false">IF(B16=0,0,J16/B16)</f>
        <v>-0.118345641025641</v>
      </c>
      <c r="L16" s="11" t="n">
        <f aca="false">Assumptions!$B$9*L12+Assumptions!$C$9*L13+Assumptions!$D$9*L14+Assumptions!$E$9*L15</f>
        <v>-162.4322</v>
      </c>
      <c r="M16" s="12" t="n">
        <f aca="false">IF(D16=0,0,L16/D16)</f>
        <v>-0.333194256410256</v>
      </c>
    </row>
    <row r="17" customFormat="false" ht="15" hidden="false" customHeight="false" outlineLevel="0" collapsed="false">
      <c r="A17" s="1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5"/>
    <col collapsed="false" customWidth="true" hidden="false" outlineLevel="0" max="6" min="6" style="0" width="70"/>
  </cols>
  <sheetData>
    <row r="2" customFormat="false" ht="15" hidden="false" customHeight="false" outlineLevel="0" collapsed="false">
      <c r="A2" s="14" t="s">
        <v>35</v>
      </c>
      <c r="B2" s="14" t="s">
        <v>28</v>
      </c>
      <c r="C2" s="14" t="s">
        <v>29</v>
      </c>
      <c r="D2" s="14" t="s">
        <v>30</v>
      </c>
      <c r="E2" s="14" t="s">
        <v>31</v>
      </c>
      <c r="F2" s="14" t="s">
        <v>36</v>
      </c>
    </row>
    <row r="3" customFormat="false" ht="15" hidden="false" customHeight="false" outlineLevel="0" collapsed="false">
      <c r="A3" s="15" t="s">
        <v>37</v>
      </c>
      <c r="B3" s="16" t="n">
        <v>29</v>
      </c>
      <c r="C3" s="16" t="n">
        <v>79</v>
      </c>
      <c r="D3" s="16" t="n">
        <v>199</v>
      </c>
      <c r="E3" s="16" t="n">
        <v>499</v>
      </c>
      <c r="F3" s="17" t="s">
        <v>38</v>
      </c>
    </row>
    <row r="4" customFormat="false" ht="15" hidden="false" customHeight="false" outlineLevel="0" collapsed="false">
      <c r="A4" s="15" t="s">
        <v>39</v>
      </c>
      <c r="B4" s="18" t="n">
        <v>3</v>
      </c>
      <c r="C4" s="18" t="n">
        <v>10</v>
      </c>
      <c r="D4" s="18" t="n">
        <v>25</v>
      </c>
      <c r="E4" s="18" t="n">
        <v>50</v>
      </c>
      <c r="F4" s="17" t="s">
        <v>40</v>
      </c>
    </row>
    <row r="5" customFormat="false" ht="15" hidden="false" customHeight="false" outlineLevel="0" collapsed="false">
      <c r="A5" s="15" t="s">
        <v>41</v>
      </c>
      <c r="B5" s="19" t="n">
        <v>0.7</v>
      </c>
      <c r="C5" s="19" t="n">
        <v>0.7</v>
      </c>
      <c r="D5" s="19" t="n">
        <v>0.7</v>
      </c>
      <c r="E5" s="19" t="n">
        <v>0.7</v>
      </c>
      <c r="F5" s="17" t="s">
        <v>42</v>
      </c>
    </row>
    <row r="6" customFormat="false" ht="15" hidden="false" customHeight="false" outlineLevel="0" collapsed="false">
      <c r="A6" s="15" t="s">
        <v>43</v>
      </c>
      <c r="B6" s="20" t="n">
        <v>1000</v>
      </c>
      <c r="C6" s="20" t="n">
        <v>5000</v>
      </c>
      <c r="D6" s="20" t="n">
        <v>25000</v>
      </c>
      <c r="E6" s="20" t="n">
        <v>50000</v>
      </c>
      <c r="F6" s="17" t="s">
        <v>44</v>
      </c>
    </row>
    <row r="7" customFormat="false" ht="15" hidden="false" customHeight="false" outlineLevel="0" collapsed="false">
      <c r="A7" s="15" t="s">
        <v>45</v>
      </c>
      <c r="B7" s="21" t="n">
        <v>0.5</v>
      </c>
      <c r="C7" s="21" t="n">
        <v>1.5</v>
      </c>
      <c r="D7" s="21" t="n">
        <v>3</v>
      </c>
      <c r="E7" s="21" t="n">
        <v>6</v>
      </c>
      <c r="F7" s="17" t="s">
        <v>46</v>
      </c>
    </row>
    <row r="8" customFormat="false" ht="15" hidden="false" customHeight="false" outlineLevel="0" collapsed="false">
      <c r="A8" s="15" t="s">
        <v>47</v>
      </c>
      <c r="B8" s="18" t="n">
        <v>40</v>
      </c>
      <c r="C8" s="18" t="n">
        <v>35</v>
      </c>
      <c r="D8" s="18" t="n">
        <v>20</v>
      </c>
      <c r="E8" s="18" t="n">
        <v>5</v>
      </c>
      <c r="F8" s="17" t="s">
        <v>48</v>
      </c>
    </row>
    <row r="9" customFormat="false" ht="15" hidden="false" customHeight="false" outlineLevel="0" collapsed="false">
      <c r="A9" s="15" t="s">
        <v>49</v>
      </c>
      <c r="B9" s="18" t="n">
        <v>1</v>
      </c>
      <c r="C9" s="18" t="n">
        <v>2</v>
      </c>
      <c r="D9" s="18" t="n">
        <v>2</v>
      </c>
      <c r="E9" s="18" t="n">
        <v>0</v>
      </c>
      <c r="F9" s="17" t="s">
        <v>50</v>
      </c>
    </row>
    <row r="11" customFormat="false" ht="15" hidden="false" customHeight="false" outlineLevel="0" collapsed="false">
      <c r="A11" s="14" t="s">
        <v>51</v>
      </c>
      <c r="B11" s="14" t="s">
        <v>52</v>
      </c>
      <c r="C11" s="14"/>
      <c r="D11" s="14"/>
      <c r="E11" s="14"/>
      <c r="F11" s="14" t="s">
        <v>36</v>
      </c>
    </row>
    <row r="12" customFormat="false" ht="15" hidden="false" customHeight="false" outlineLevel="0" collapsed="false">
      <c r="A12" s="15" t="s">
        <v>53</v>
      </c>
      <c r="B12" s="22" t="n">
        <v>1554</v>
      </c>
      <c r="F12" s="17" t="s">
        <v>54</v>
      </c>
    </row>
    <row r="13" customFormat="false" ht="15" hidden="false" customHeight="false" outlineLevel="0" collapsed="false">
      <c r="A13" s="15" t="s">
        <v>55</v>
      </c>
      <c r="B13" s="22" t="n">
        <v>441</v>
      </c>
      <c r="F13" s="17" t="s">
        <v>56</v>
      </c>
    </row>
    <row r="14" customFormat="false" ht="15" hidden="false" customHeight="false" outlineLevel="0" collapsed="false">
      <c r="A14" s="15" t="s">
        <v>57</v>
      </c>
      <c r="B14" s="18" t="n">
        <v>20</v>
      </c>
      <c r="F14" s="17" t="s">
        <v>58</v>
      </c>
    </row>
    <row r="15" customFormat="false" ht="15" hidden="false" customHeight="false" outlineLevel="0" collapsed="false">
      <c r="A15" s="15" t="s">
        <v>59</v>
      </c>
      <c r="B15" s="23" t="n">
        <v>0.1</v>
      </c>
      <c r="F15" s="17" t="s">
        <v>60</v>
      </c>
    </row>
    <row r="16" customFormat="false" ht="15" hidden="false" customHeight="false" outlineLevel="0" collapsed="false">
      <c r="A16" s="15" t="s">
        <v>61</v>
      </c>
      <c r="B16" s="19" t="n">
        <v>0.3</v>
      </c>
      <c r="F16" s="17" t="s">
        <v>62</v>
      </c>
    </row>
    <row r="17" customFormat="false" ht="15" hidden="false" customHeight="false" outlineLevel="0" collapsed="false">
      <c r="A17" s="15" t="s">
        <v>63</v>
      </c>
      <c r="B17" s="24" t="n">
        <v>1</v>
      </c>
      <c r="F17" s="17" t="s">
        <v>64</v>
      </c>
    </row>
    <row r="18" customFormat="false" ht="15" hidden="false" customHeight="false" outlineLevel="0" collapsed="false">
      <c r="A18" s="15" t="s">
        <v>65</v>
      </c>
      <c r="B18" s="23" t="n">
        <v>0.05</v>
      </c>
      <c r="F18" s="17" t="s">
        <v>66</v>
      </c>
    </row>
    <row r="19" customFormat="false" ht="15" hidden="false" customHeight="false" outlineLevel="0" collapsed="false">
      <c r="A19" s="15" t="s">
        <v>67</v>
      </c>
      <c r="B19" s="23" t="n">
        <v>0.05</v>
      </c>
      <c r="F19" s="17" t="s">
        <v>68</v>
      </c>
    </row>
    <row r="20" customFormat="false" ht="15" hidden="false" customHeight="false" outlineLevel="0" collapsed="false">
      <c r="A20" s="15" t="s">
        <v>69</v>
      </c>
      <c r="B20" s="19" t="n">
        <v>0.5</v>
      </c>
      <c r="F20" s="17" t="s">
        <v>64</v>
      </c>
    </row>
    <row r="21" customFormat="false" ht="15" hidden="false" customHeight="false" outlineLevel="0" collapsed="false">
      <c r="A21" s="15" t="s">
        <v>70</v>
      </c>
      <c r="B21" s="25" t="n">
        <v>20</v>
      </c>
      <c r="F21" s="17" t="s">
        <v>71</v>
      </c>
    </row>
    <row r="22" customFormat="false" ht="15" hidden="false" customHeight="false" outlineLevel="0" collapsed="false">
      <c r="A22" s="15" t="s">
        <v>72</v>
      </c>
      <c r="B22" s="19" t="n">
        <v>0.03</v>
      </c>
      <c r="F22" s="17" t="s">
        <v>73</v>
      </c>
    </row>
    <row r="23" customFormat="false" ht="15" hidden="false" customHeight="false" outlineLevel="0" collapsed="false">
      <c r="A23" s="15" t="s">
        <v>74</v>
      </c>
      <c r="B23" s="23" t="n">
        <v>0.3</v>
      </c>
      <c r="F23" s="17" t="s">
        <v>75</v>
      </c>
    </row>
    <row r="24" customFormat="false" ht="15" hidden="false" customHeight="false" outlineLevel="0" collapsed="false">
      <c r="A24" s="15" t="s">
        <v>76</v>
      </c>
      <c r="B24" s="18" t="n">
        <v>10</v>
      </c>
      <c r="F24" s="17" t="s">
        <v>77</v>
      </c>
    </row>
    <row r="26" customFormat="false" ht="15" hidden="false" customHeight="false" outlineLevel="0" collapsed="false">
      <c r="A26" s="26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2026-10-19T20:07:54Z</dcterms:created>
  <dc:creator>openpyxl</dc:creator>
  <dc:description/>
  <dc:language>en-US</dc:language>
  <cp:lastModifiedBy/>
  <dcterms:modified xsi:type="dcterms:W3CDTF">2026-10-19T20:07:54Z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